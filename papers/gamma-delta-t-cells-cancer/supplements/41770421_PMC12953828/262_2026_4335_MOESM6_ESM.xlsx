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dT DA\"/>
    </mc:Choice>
  </mc:AlternateContent>
  <xr:revisionPtr revIDLastSave="0" documentId="13_ncr:1_{7422C537-5885-473A-8244-3BA08A58B6D6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Top p1000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" i="10" l="1"/>
  <c r="H11" i="10"/>
  <c r="G11" i="10"/>
  <c r="H23" i="10"/>
  <c r="G24" i="10"/>
  <c r="H20" i="10"/>
  <c r="H7" i="10"/>
  <c r="H82" i="10"/>
  <c r="H10" i="10"/>
  <c r="H123" i="10"/>
  <c r="H22" i="10"/>
  <c r="H110" i="10"/>
  <c r="H99" i="10"/>
  <c r="H4" i="10"/>
  <c r="H259" i="10"/>
  <c r="H18" i="10"/>
  <c r="H33" i="10"/>
  <c r="H21" i="10"/>
  <c r="H34" i="10"/>
  <c r="H163" i="10"/>
  <c r="H215" i="10"/>
  <c r="H78" i="10"/>
  <c r="H19" i="10"/>
  <c r="H125" i="10"/>
  <c r="H44" i="10"/>
  <c r="H57" i="10"/>
  <c r="H141" i="10"/>
  <c r="H164" i="10"/>
  <c r="H43" i="10"/>
  <c r="H87" i="10"/>
  <c r="H47" i="10"/>
  <c r="H42" i="10"/>
  <c r="H85" i="10"/>
  <c r="H92" i="10"/>
  <c r="H240" i="10"/>
  <c r="H170" i="10"/>
  <c r="H53" i="10"/>
  <c r="H179" i="10"/>
  <c r="H55" i="10"/>
  <c r="H133" i="10"/>
  <c r="H124" i="10"/>
  <c r="H121" i="10"/>
  <c r="H39" i="10"/>
  <c r="H63" i="10"/>
  <c r="H77" i="10"/>
  <c r="H134" i="10"/>
  <c r="H126" i="10"/>
  <c r="H38" i="10"/>
  <c r="H104" i="10"/>
  <c r="H61" i="10"/>
  <c r="H120" i="10"/>
  <c r="H14" i="10"/>
  <c r="H28" i="10"/>
  <c r="H314" i="10"/>
  <c r="H127" i="10"/>
  <c r="H138" i="10"/>
  <c r="H32" i="10"/>
  <c r="H100" i="10"/>
  <c r="H6" i="10"/>
  <c r="H117" i="10"/>
  <c r="H46" i="10"/>
  <c r="H342" i="10"/>
  <c r="H154" i="10"/>
  <c r="H277" i="10"/>
  <c r="H210" i="10"/>
  <c r="H97" i="10"/>
  <c r="H142" i="10"/>
  <c r="H31" i="10"/>
  <c r="H271" i="10"/>
  <c r="H29" i="10"/>
  <c r="H146" i="10"/>
  <c r="H95" i="10"/>
  <c r="H106" i="10"/>
  <c r="H171" i="10"/>
  <c r="H200" i="10"/>
  <c r="H189" i="10"/>
  <c r="H155" i="10"/>
  <c r="H131" i="10"/>
  <c r="H228" i="10"/>
  <c r="H299" i="10"/>
  <c r="H76" i="10"/>
  <c r="H54" i="10"/>
  <c r="H150" i="10"/>
  <c r="H160" i="10"/>
  <c r="H310" i="10"/>
  <c r="H16" i="10"/>
  <c r="H35" i="10"/>
  <c r="H193" i="10"/>
  <c r="H25" i="10"/>
  <c r="H151" i="10"/>
  <c r="H5" i="10"/>
  <c r="H296" i="10"/>
  <c r="H91" i="10"/>
  <c r="H62" i="10"/>
  <c r="H192" i="10"/>
  <c r="H118" i="10"/>
  <c r="H80" i="10"/>
  <c r="H158" i="10"/>
  <c r="H107" i="10"/>
  <c r="H60" i="10"/>
  <c r="H156" i="10"/>
  <c r="H203" i="10"/>
  <c r="H74" i="10"/>
  <c r="H324" i="10"/>
  <c r="H262" i="10"/>
  <c r="H112" i="10"/>
  <c r="H257" i="10"/>
  <c r="H36" i="10"/>
  <c r="H181" i="10"/>
  <c r="H144" i="10"/>
  <c r="H261" i="10"/>
  <c r="H49" i="10"/>
  <c r="H79" i="10"/>
  <c r="H56" i="10"/>
  <c r="H50" i="10"/>
  <c r="H220" i="10"/>
  <c r="H313" i="10"/>
  <c r="H258" i="10"/>
  <c r="H260" i="10"/>
  <c r="H9" i="10"/>
  <c r="H135" i="10"/>
  <c r="H230" i="10"/>
  <c r="H157" i="10"/>
  <c r="H167" i="10"/>
  <c r="H221" i="10"/>
  <c r="H241" i="10"/>
  <c r="H41" i="10"/>
  <c r="H311" i="10"/>
  <c r="H159" i="10"/>
  <c r="H73" i="10"/>
  <c r="H323" i="10"/>
  <c r="H136" i="10"/>
  <c r="H343" i="10"/>
  <c r="H111" i="10"/>
  <c r="H175" i="10"/>
  <c r="H177" i="10"/>
  <c r="H109" i="10"/>
  <c r="H162" i="10"/>
  <c r="H103" i="10"/>
  <c r="H246" i="10"/>
  <c r="H52" i="10"/>
  <c r="H306" i="10"/>
  <c r="H180" i="10"/>
  <c r="H188" i="10"/>
  <c r="H255" i="10"/>
  <c r="H184" i="10"/>
  <c r="H45" i="10"/>
  <c r="H284" i="10"/>
  <c r="H122" i="10"/>
  <c r="H253" i="10"/>
  <c r="H147" i="10"/>
  <c r="H81" i="10"/>
  <c r="H273" i="10"/>
  <c r="H252" i="10"/>
  <c r="H196" i="10"/>
  <c r="H65" i="10"/>
  <c r="H101" i="10"/>
  <c r="H98" i="10"/>
  <c r="H348" i="10"/>
  <c r="H309" i="10"/>
  <c r="H304" i="10"/>
  <c r="H72" i="10"/>
  <c r="H105" i="10"/>
  <c r="H205" i="10"/>
  <c r="H197" i="10"/>
  <c r="H67" i="10"/>
  <c r="H340" i="10"/>
  <c r="H285" i="10"/>
  <c r="H182" i="10"/>
  <c r="H152" i="10"/>
  <c r="H222" i="10"/>
  <c r="H308" i="10"/>
  <c r="H202" i="10"/>
  <c r="H89" i="10"/>
  <c r="H231" i="10"/>
  <c r="H235" i="10"/>
  <c r="H236" i="10"/>
  <c r="H108" i="10"/>
  <c r="H300" i="10"/>
  <c r="H336" i="10"/>
  <c r="H204" i="10"/>
  <c r="H337" i="10"/>
  <c r="H303" i="10"/>
  <c r="H90" i="10"/>
  <c r="H237" i="10"/>
  <c r="H321" i="10"/>
  <c r="H270" i="10"/>
  <c r="H165" i="10"/>
  <c r="H153" i="10"/>
  <c r="H183" i="10"/>
  <c r="H145" i="10"/>
  <c r="H8" i="10"/>
  <c r="H51" i="10"/>
  <c r="H178" i="10"/>
  <c r="H187" i="10"/>
  <c r="H113" i="10"/>
  <c r="H132" i="10"/>
  <c r="H13" i="10"/>
  <c r="H338" i="10"/>
  <c r="H130" i="10"/>
  <c r="H333" i="10"/>
  <c r="H211" i="10"/>
  <c r="H265" i="10"/>
  <c r="H64" i="10"/>
  <c r="H332" i="10"/>
  <c r="H328" i="10"/>
  <c r="H96" i="10"/>
  <c r="H70" i="10"/>
  <c r="H94" i="10"/>
  <c r="H335" i="10"/>
  <c r="H168" i="10"/>
  <c r="H223" i="10"/>
  <c r="H256" i="10"/>
  <c r="H48" i="10"/>
  <c r="H329" i="10"/>
  <c r="H226" i="10"/>
  <c r="H129" i="10"/>
  <c r="H83" i="10"/>
  <c r="H86" i="10"/>
  <c r="H320" i="10"/>
  <c r="H209" i="10"/>
  <c r="H292" i="10"/>
  <c r="H330" i="10"/>
  <c r="H243" i="10"/>
  <c r="H169" i="10"/>
  <c r="H212" i="10"/>
  <c r="H68" i="10"/>
  <c r="H249" i="10"/>
  <c r="H206" i="10"/>
  <c r="H15" i="10"/>
  <c r="H137" i="10"/>
  <c r="H267" i="10"/>
  <c r="H295" i="10"/>
  <c r="H166" i="10"/>
  <c r="H227" i="10"/>
  <c r="H172" i="10"/>
  <c r="H238" i="10"/>
  <c r="H88" i="10"/>
  <c r="H71" i="10"/>
  <c r="H102" i="10"/>
  <c r="H93" i="10"/>
  <c r="H213" i="10"/>
  <c r="H66" i="10"/>
  <c r="H37" i="10"/>
  <c r="H317" i="10"/>
  <c r="H248" i="10"/>
  <c r="H40" i="10"/>
  <c r="H143" i="10"/>
  <c r="H278" i="10"/>
  <c r="H318" i="10"/>
  <c r="H194" i="10"/>
  <c r="H305" i="10"/>
  <c r="H302" i="10"/>
  <c r="H268" i="10"/>
  <c r="H339" i="10"/>
  <c r="H199" i="10"/>
  <c r="H331" i="10"/>
  <c r="H232" i="10"/>
  <c r="H191" i="10"/>
  <c r="H263" i="10"/>
  <c r="H229" i="10"/>
  <c r="H173" i="10"/>
  <c r="H294" i="10"/>
  <c r="H161" i="10"/>
  <c r="H119" i="10"/>
  <c r="H316" i="10"/>
  <c r="H325" i="10"/>
  <c r="H298" i="10"/>
  <c r="H334" i="10"/>
  <c r="H279" i="10"/>
  <c r="H312" i="10"/>
  <c r="H280" i="10"/>
  <c r="H84" i="10"/>
  <c r="H254" i="10"/>
  <c r="H219" i="10"/>
  <c r="H214" i="10"/>
  <c r="H247" i="10"/>
  <c r="H269" i="10"/>
  <c r="H207" i="10"/>
  <c r="H116" i="10"/>
  <c r="H69" i="10"/>
  <c r="H198" i="10"/>
  <c r="H140" i="10"/>
  <c r="H185" i="10"/>
  <c r="H27" i="10"/>
  <c r="H224" i="10"/>
  <c r="H176" i="10"/>
  <c r="H288" i="10"/>
  <c r="H225" i="10"/>
  <c r="H282" i="10"/>
  <c r="H293" i="10"/>
  <c r="H128" i="10"/>
  <c r="H190" i="10"/>
  <c r="H319" i="10"/>
  <c r="H276" i="10"/>
  <c r="H218" i="10"/>
  <c r="H234" i="10"/>
  <c r="H307" i="10"/>
  <c r="H115" i="10"/>
  <c r="H139" i="10"/>
  <c r="H239" i="10"/>
  <c r="H345" i="10"/>
  <c r="H286" i="10"/>
  <c r="H59" i="10"/>
  <c r="H250" i="10"/>
  <c r="H201" i="10"/>
  <c r="H322" i="10"/>
  <c r="H245" i="10"/>
  <c r="H148" i="10"/>
  <c r="H326" i="10"/>
  <c r="H264" i="10"/>
  <c r="H242" i="10"/>
  <c r="H272" i="10"/>
  <c r="H341" i="10"/>
  <c r="H274" i="10"/>
  <c r="H346" i="10"/>
  <c r="H344" i="10"/>
  <c r="H58" i="10"/>
  <c r="H233" i="10"/>
  <c r="H290" i="10"/>
  <c r="H26" i="10"/>
  <c r="H149" i="10"/>
  <c r="H208" i="10"/>
  <c r="H114" i="10"/>
  <c r="H75" i="10"/>
  <c r="H297" i="10"/>
  <c r="H281" i="10"/>
  <c r="H327" i="10"/>
  <c r="H266" i="10"/>
  <c r="H217" i="10"/>
  <c r="H186" i="10"/>
  <c r="H289" i="10"/>
  <c r="H287" i="10"/>
  <c r="H195" i="10"/>
  <c r="H251" i="10"/>
  <c r="H291" i="10"/>
  <c r="H315" i="10"/>
  <c r="H347" i="10"/>
  <c r="H12" i="10"/>
  <c r="H30" i="10"/>
  <c r="H275" i="10"/>
  <c r="H216" i="10"/>
  <c r="H174" i="10"/>
  <c r="H301" i="10"/>
  <c r="H244" i="10"/>
  <c r="H283" i="10"/>
  <c r="H17" i="10"/>
</calcChain>
</file>

<file path=xl/sharedStrings.xml><?xml version="1.0" encoding="utf-8"?>
<sst xmlns="http://schemas.openxmlformats.org/spreadsheetml/2006/main" count="1046" uniqueCount="698">
  <si>
    <t>Geneid</t>
  </si>
  <si>
    <t>Symbol</t>
  </si>
  <si>
    <t>ENSG00000002330</t>
  </si>
  <si>
    <t>BAD</t>
  </si>
  <si>
    <t>ENSG00000002834</t>
  </si>
  <si>
    <t>LASP1</t>
  </si>
  <si>
    <t>ENSG00000003402</t>
  </si>
  <si>
    <t>CFLAR</t>
  </si>
  <si>
    <t>ENSG00000004468</t>
  </si>
  <si>
    <t>CD38</t>
  </si>
  <si>
    <t>ENSG00000007264</t>
  </si>
  <si>
    <t>MATK</t>
  </si>
  <si>
    <t>ENSG00000010292</t>
  </si>
  <si>
    <t>NCAPD2</t>
  </si>
  <si>
    <t>ENSG00000013573</t>
  </si>
  <si>
    <t>DDX11</t>
  </si>
  <si>
    <t>ENSG00000013619</t>
  </si>
  <si>
    <t>MAMLD1</t>
  </si>
  <si>
    <t>ENSG00000013725</t>
  </si>
  <si>
    <t>CD6</t>
  </si>
  <si>
    <t>ENSG00000013810</t>
  </si>
  <si>
    <t>TACC3</t>
  </si>
  <si>
    <t>ENSG00000023892</t>
  </si>
  <si>
    <t>DEF6</t>
  </si>
  <si>
    <t>ENSG00000026508</t>
  </si>
  <si>
    <t>CD44</t>
  </si>
  <si>
    <t>ENSG00000026751</t>
  </si>
  <si>
    <t>SLAMF7</t>
  </si>
  <si>
    <t>ENSG00000030582</t>
  </si>
  <si>
    <t>GRN</t>
  </si>
  <si>
    <t>ENSG00000037757</t>
  </si>
  <si>
    <t>MRI1</t>
  </si>
  <si>
    <t>ENSG00000043462</t>
  </si>
  <si>
    <t>LCP2</t>
  </si>
  <si>
    <t>ENSG00000049541</t>
  </si>
  <si>
    <t>RFC2</t>
  </si>
  <si>
    <t>ENSG00000049768</t>
  </si>
  <si>
    <t>FOXP3</t>
  </si>
  <si>
    <t>ENSG00000052749</t>
  </si>
  <si>
    <t>RRP12</t>
  </si>
  <si>
    <t>ENSG00000053371</t>
  </si>
  <si>
    <t>AKR7A2</t>
  </si>
  <si>
    <t>ENSG00000056558</t>
  </si>
  <si>
    <t>TRAF1</t>
  </si>
  <si>
    <t>ENSG00000060642</t>
  </si>
  <si>
    <t>PIGV</t>
  </si>
  <si>
    <t>ENSG00000062822</t>
  </si>
  <si>
    <t>POLD1</t>
  </si>
  <si>
    <t>ENSG00000065328</t>
  </si>
  <si>
    <t>MCM10</t>
  </si>
  <si>
    <t>ENSG00000068489</t>
  </si>
  <si>
    <t>PRR11</t>
  </si>
  <si>
    <t>ENSG00000069424</t>
  </si>
  <si>
    <t>KCNAB2</t>
  </si>
  <si>
    <t>ENSG00000069702</t>
  </si>
  <si>
    <t>TGFBR3</t>
  </si>
  <si>
    <t>ENSG00000070501</t>
  </si>
  <si>
    <t>POLB</t>
  </si>
  <si>
    <t>ENSG00000071054</t>
  </si>
  <si>
    <t>MAP4K4</t>
  </si>
  <si>
    <t>ENSG00000072501</t>
  </si>
  <si>
    <t>SMC1A</t>
  </si>
  <si>
    <t>ENSG00000073111</t>
  </si>
  <si>
    <t>MCM2</t>
  </si>
  <si>
    <t>ENSG00000073756</t>
  </si>
  <si>
    <t>PTGS2</t>
  </si>
  <si>
    <t>ENSG00000074071</t>
  </si>
  <si>
    <t>MRPS34</t>
  </si>
  <si>
    <t>ENSG00000076003</t>
  </si>
  <si>
    <t>MCM6</t>
  </si>
  <si>
    <t>ENSG00000076043</t>
  </si>
  <si>
    <t>REXO2</t>
  </si>
  <si>
    <t>ENSG00000076248</t>
  </si>
  <si>
    <t>UNG</t>
  </si>
  <si>
    <t>ENSG00000077152</t>
  </si>
  <si>
    <t>UBE2T</t>
  </si>
  <si>
    <t>ENSG00000077420</t>
  </si>
  <si>
    <t>APBB1IP</t>
  </si>
  <si>
    <t>ENSG00000080371</t>
  </si>
  <si>
    <t>RAB21</t>
  </si>
  <si>
    <t>ENSG00000080819</t>
  </si>
  <si>
    <t>CPOX</t>
  </si>
  <si>
    <t>ENSG00000085117</t>
  </si>
  <si>
    <t>CD82</t>
  </si>
  <si>
    <t>ENSG00000085840</t>
  </si>
  <si>
    <t>ORC1</t>
  </si>
  <si>
    <t>ENSG00000085999</t>
  </si>
  <si>
    <t>RAD54L</t>
  </si>
  <si>
    <t>ENSG00000087586</t>
  </si>
  <si>
    <t>AURKA</t>
  </si>
  <si>
    <t>ENSG00000088325</t>
  </si>
  <si>
    <t>TPX2</t>
  </si>
  <si>
    <t>ENSG00000088986</t>
  </si>
  <si>
    <t>DYNLL1</t>
  </si>
  <si>
    <t>ENSG00000089597</t>
  </si>
  <si>
    <t>GANAB</t>
  </si>
  <si>
    <t>ENSG00000089685</t>
  </si>
  <si>
    <t>BIRC5</t>
  </si>
  <si>
    <t>ENSG00000090861</t>
  </si>
  <si>
    <t>AARS1</t>
  </si>
  <si>
    <t>ENSG00000093009</t>
  </si>
  <si>
    <t>CDC45</t>
  </si>
  <si>
    <t>ENSG00000094804</t>
  </si>
  <si>
    <t>CDC6</t>
  </si>
  <si>
    <t>ENSG00000096968</t>
  </si>
  <si>
    <t>JAK2</t>
  </si>
  <si>
    <t>ENSG00000099860</t>
  </si>
  <si>
    <t>GADD45B</t>
  </si>
  <si>
    <t>ENSG00000100075</t>
  </si>
  <si>
    <t>SLC25A1</t>
  </si>
  <si>
    <t>ENSG00000100092</t>
  </si>
  <si>
    <t>SH3BP1</t>
  </si>
  <si>
    <t>ENSG00000100297</t>
  </si>
  <si>
    <t>MCM5</t>
  </si>
  <si>
    <t>ENSG00000100714</t>
  </si>
  <si>
    <t>MTHFD1</t>
  </si>
  <si>
    <t>ENSG00000100889</t>
  </si>
  <si>
    <t>PCK2</t>
  </si>
  <si>
    <t>ENSG00000100906</t>
  </si>
  <si>
    <t>NFKBIA</t>
  </si>
  <si>
    <t>ENSG00000101057</t>
  </si>
  <si>
    <t>MYBL2</t>
  </si>
  <si>
    <t>ENSG00000101412</t>
  </si>
  <si>
    <t>E2F1</t>
  </si>
  <si>
    <t>ENSG00000101421</t>
  </si>
  <si>
    <t>CHMP4B</t>
  </si>
  <si>
    <t>ENSG00000101460</t>
  </si>
  <si>
    <t>MAP1LC3A</t>
  </si>
  <si>
    <t>ENSG00000102265</t>
  </si>
  <si>
    <t>TIMP1</t>
  </si>
  <si>
    <t>ENSG00000102882</t>
  </si>
  <si>
    <t>MAPK3</t>
  </si>
  <si>
    <t>ENSG00000104228</t>
  </si>
  <si>
    <t>TRIM35</t>
  </si>
  <si>
    <t>ENSG00000104419</t>
  </si>
  <si>
    <t>NDRG1</t>
  </si>
  <si>
    <t>ENSG00000104738</t>
  </si>
  <si>
    <t>MCM4</t>
  </si>
  <si>
    <t>ENSG00000104823</t>
  </si>
  <si>
    <t>ECH1</t>
  </si>
  <si>
    <t>ENSG00000104951</t>
  </si>
  <si>
    <t>IL4I1</t>
  </si>
  <si>
    <t>ENSG00000105856</t>
  </si>
  <si>
    <t>HBP1</t>
  </si>
  <si>
    <t>ENSG00000105875</t>
  </si>
  <si>
    <t>WDR91</t>
  </si>
  <si>
    <t>ENSG00000106211</t>
  </si>
  <si>
    <t>HSPB1</t>
  </si>
  <si>
    <t>ENSG00000106367</t>
  </si>
  <si>
    <t>AP1S1</t>
  </si>
  <si>
    <t>ENSG00000106952</t>
  </si>
  <si>
    <t>TNFSF8</t>
  </si>
  <si>
    <t>ENSG00000107738</t>
  </si>
  <si>
    <t>VSIR</t>
  </si>
  <si>
    <t>ENSG00000108702</t>
  </si>
  <si>
    <t>CCL1</t>
  </si>
  <si>
    <t>ENSG00000109471</t>
  </si>
  <si>
    <t>IL2</t>
  </si>
  <si>
    <t>ENSG00000110047</t>
  </si>
  <si>
    <t>EHD1</t>
  </si>
  <si>
    <t>ENSG00000110395</t>
  </si>
  <si>
    <t>CBL</t>
  </si>
  <si>
    <t>ENSG00000110848</t>
  </si>
  <si>
    <t>CD69</t>
  </si>
  <si>
    <t>ENSG00000110944</t>
  </si>
  <si>
    <t>IL23A</t>
  </si>
  <si>
    <t>ENSG00000111206</t>
  </si>
  <si>
    <t>FOXM1</t>
  </si>
  <si>
    <t>ENSG00000111536</t>
  </si>
  <si>
    <t>IL26</t>
  </si>
  <si>
    <t>ENSG00000111537</t>
  </si>
  <si>
    <t>IFNG</t>
  </si>
  <si>
    <t>ENSG00000112115</t>
  </si>
  <si>
    <t>IL17A</t>
  </si>
  <si>
    <t>ENSG00000112116</t>
  </si>
  <si>
    <t>IL17F</t>
  </si>
  <si>
    <t>ENSG00000112118</t>
  </si>
  <si>
    <t>MCM3</t>
  </si>
  <si>
    <t>ENSG00000112149</t>
  </si>
  <si>
    <t>CD83</t>
  </si>
  <si>
    <t>ENSG00000112576</t>
  </si>
  <si>
    <t>CCND3</t>
  </si>
  <si>
    <t>ENSG00000112679</t>
  </si>
  <si>
    <t>DUSP22</t>
  </si>
  <si>
    <t>ENSG00000113520</t>
  </si>
  <si>
    <t>IL4</t>
  </si>
  <si>
    <t>ENSG00000113525</t>
  </si>
  <si>
    <t>IL5</t>
  </si>
  <si>
    <t>ENSG00000113552</t>
  </si>
  <si>
    <t>GNPDA1</t>
  </si>
  <si>
    <t>ENSG00000113758</t>
  </si>
  <si>
    <t>DBN1</t>
  </si>
  <si>
    <t>ENSG00000113916</t>
  </si>
  <si>
    <t>BCL6</t>
  </si>
  <si>
    <t>ENSG00000114353</t>
  </si>
  <si>
    <t>GNAI2</t>
  </si>
  <si>
    <t>ENSG00000114388</t>
  </si>
  <si>
    <t>NPRL2</t>
  </si>
  <si>
    <t>ENSG00000114473</t>
  </si>
  <si>
    <t>IQCG</t>
  </si>
  <si>
    <t>ENSG00000115009</t>
  </si>
  <si>
    <t>CCL20</t>
  </si>
  <si>
    <t>ENSG00000115085</t>
  </si>
  <si>
    <t>ZAP70</t>
  </si>
  <si>
    <t>ENSG00000115419</t>
  </si>
  <si>
    <t>GLS</t>
  </si>
  <si>
    <t>ENSG00000115602</t>
  </si>
  <si>
    <t>IL1RL1</t>
  </si>
  <si>
    <t>ENSG00000115604</t>
  </si>
  <si>
    <t>IL18R1</t>
  </si>
  <si>
    <t>ENSG00000115607</t>
  </si>
  <si>
    <t>IL18RAP</t>
  </si>
  <si>
    <t>ENSG00000115956</t>
  </si>
  <si>
    <t>PLEK</t>
  </si>
  <si>
    <t>ENSG00000116161</t>
  </si>
  <si>
    <t>CACYBP</t>
  </si>
  <si>
    <t>ENSG00000116237</t>
  </si>
  <si>
    <t>ICMT</t>
  </si>
  <si>
    <t>ENSG00000116670</t>
  </si>
  <si>
    <t>MAD2L2</t>
  </si>
  <si>
    <t>ENSG00000116991</t>
  </si>
  <si>
    <t>SIPA1L2</t>
  </si>
  <si>
    <t>ENSG00000117090</t>
  </si>
  <si>
    <t>SLAMF1</t>
  </si>
  <si>
    <t>ENSG00000117280</t>
  </si>
  <si>
    <t>RAB29</t>
  </si>
  <si>
    <t>ENSG00000117318</t>
  </si>
  <si>
    <t>ID3</t>
  </si>
  <si>
    <t>ENSG00000117399</t>
  </si>
  <si>
    <t>CDC20</t>
  </si>
  <si>
    <t>ENSG00000118513</t>
  </si>
  <si>
    <t>MYB</t>
  </si>
  <si>
    <t>ENSG00000120217</t>
  </si>
  <si>
    <t>CD274</t>
  </si>
  <si>
    <t>ENSG00000120437</t>
  </si>
  <si>
    <t>ACAT2</t>
  </si>
  <si>
    <t>ENSG00000120802</t>
  </si>
  <si>
    <t>TMPO</t>
  </si>
  <si>
    <t>ENSG00000121152</t>
  </si>
  <si>
    <t>NCAPH</t>
  </si>
  <si>
    <t>ENSG00000122884</t>
  </si>
  <si>
    <t>P4HA1</t>
  </si>
  <si>
    <t>ENSG00000123374</t>
  </si>
  <si>
    <t>CDK2</t>
  </si>
  <si>
    <t>ENSG00000123416</t>
  </si>
  <si>
    <t>TUBA1B</t>
  </si>
  <si>
    <t>ENSG00000125245</t>
  </si>
  <si>
    <t>GPR18</t>
  </si>
  <si>
    <t>ENSG00000125384</t>
  </si>
  <si>
    <t>PTGER2</t>
  </si>
  <si>
    <t>ENSG00000125657</t>
  </si>
  <si>
    <t>TNFSF9</t>
  </si>
  <si>
    <t>ENSG00000125733</t>
  </si>
  <si>
    <t>TRIP10</t>
  </si>
  <si>
    <t>ENSG00000126561</t>
  </si>
  <si>
    <t>STAT5A</t>
  </si>
  <si>
    <t>ENSG00000126860</t>
  </si>
  <si>
    <t>EVI2A</t>
  </si>
  <si>
    <t>ENSG00000126882</t>
  </si>
  <si>
    <t>FAM78A</t>
  </si>
  <si>
    <t>ENSG00000127318</t>
  </si>
  <si>
    <t>IL22</t>
  </si>
  <si>
    <t>ENSG00000127564</t>
  </si>
  <si>
    <t>PKMYT1</t>
  </si>
  <si>
    <t>ENSG00000127589</t>
  </si>
  <si>
    <t>TUBBP1</t>
  </si>
  <si>
    <t>ENSG00000128944</t>
  </si>
  <si>
    <t>KNSTRN</t>
  </si>
  <si>
    <t>ENSG00000128951</t>
  </si>
  <si>
    <t>DUT</t>
  </si>
  <si>
    <t>ENSG00000128965</t>
  </si>
  <si>
    <t>CHAC1</t>
  </si>
  <si>
    <t>ENSG00000130303</t>
  </si>
  <si>
    <t>BST2</t>
  </si>
  <si>
    <t>ENSG00000130520</t>
  </si>
  <si>
    <t>LSM4</t>
  </si>
  <si>
    <t>ENSG00000130770</t>
  </si>
  <si>
    <t>ATP5IF1</t>
  </si>
  <si>
    <t>ENSG00000130816</t>
  </si>
  <si>
    <t>DNMT1</t>
  </si>
  <si>
    <t>ENSG00000131149</t>
  </si>
  <si>
    <t>GSE1</t>
  </si>
  <si>
    <t>ENSG00000131153</t>
  </si>
  <si>
    <t>GINS2</t>
  </si>
  <si>
    <t>ENSG00000131196</t>
  </si>
  <si>
    <t>NFATC1</t>
  </si>
  <si>
    <t>ENSG00000131462</t>
  </si>
  <si>
    <t>TUBG1</t>
  </si>
  <si>
    <t>ENSG00000131507</t>
  </si>
  <si>
    <t>NDFIP1</t>
  </si>
  <si>
    <t>ENSG00000131669</t>
  </si>
  <si>
    <t>NINJ1</t>
  </si>
  <si>
    <t>ENSG00000131747</t>
  </si>
  <si>
    <t>TOP2A</t>
  </si>
  <si>
    <t>ENSG00000132274</t>
  </si>
  <si>
    <t>TRIM22</t>
  </si>
  <si>
    <t>ENSG00000132383</t>
  </si>
  <si>
    <t>RPA1</t>
  </si>
  <si>
    <t>ENSG00000132436</t>
  </si>
  <si>
    <t>FIGNL1</t>
  </si>
  <si>
    <t>ENSG00000132589</t>
  </si>
  <si>
    <t>FLOT2</t>
  </si>
  <si>
    <t>ENSG00000132646</t>
  </si>
  <si>
    <t>PCNA</t>
  </si>
  <si>
    <t>ENSG00000133639</t>
  </si>
  <si>
    <t>BTG1</t>
  </si>
  <si>
    <t>ENSG00000133935</t>
  </si>
  <si>
    <t>ERG28</t>
  </si>
  <si>
    <t>ENSG00000134057</t>
  </si>
  <si>
    <t>CCNB1</t>
  </si>
  <si>
    <t>ENSG00000134072</t>
  </si>
  <si>
    <t>CAMK1</t>
  </si>
  <si>
    <t>ENSG00000134291</t>
  </si>
  <si>
    <t>TMEM106C</t>
  </si>
  <si>
    <t>ENSG00000134594</t>
  </si>
  <si>
    <t>RAB33A</t>
  </si>
  <si>
    <t>ENSG00000134802</t>
  </si>
  <si>
    <t>SLC43A3</t>
  </si>
  <si>
    <t>ENSG00000134996</t>
  </si>
  <si>
    <t>OSTF1</t>
  </si>
  <si>
    <t>ENSG00000135046</t>
  </si>
  <si>
    <t>ANXA1</t>
  </si>
  <si>
    <t>ENSG00000135069</t>
  </si>
  <si>
    <t>PSAT1</t>
  </si>
  <si>
    <t>ENSG00000135426</t>
  </si>
  <si>
    <t>TESPA1</t>
  </si>
  <si>
    <t>ENSG00000135439</t>
  </si>
  <si>
    <t>AGAP2</t>
  </si>
  <si>
    <t>ENSG00000135823</t>
  </si>
  <si>
    <t>STX6</t>
  </si>
  <si>
    <t>ENSG00000135842</t>
  </si>
  <si>
    <t>NIBAN1</t>
  </si>
  <si>
    <t>ENSG00000135905</t>
  </si>
  <si>
    <t>DOCK10</t>
  </si>
  <si>
    <t>ENSG00000135926</t>
  </si>
  <si>
    <t>TMBIM1</t>
  </si>
  <si>
    <t>ENSG00000136147</t>
  </si>
  <si>
    <t>PHF11</t>
  </si>
  <si>
    <t>ENSG00000137216</t>
  </si>
  <si>
    <t>TMEM63B</t>
  </si>
  <si>
    <t>ENSG00000137310</t>
  </si>
  <si>
    <t>TCF19</t>
  </si>
  <si>
    <t>ENSG00000137575</t>
  </si>
  <si>
    <t>SDCBP</t>
  </si>
  <si>
    <t>ENSG00000137807</t>
  </si>
  <si>
    <t>KIF23</t>
  </si>
  <si>
    <t>ENSG00000138378</t>
  </si>
  <si>
    <t>STAT4</t>
  </si>
  <si>
    <t>ENSG00000138385</t>
  </si>
  <si>
    <t>SSB</t>
  </si>
  <si>
    <t>ENSG00000138600</t>
  </si>
  <si>
    <t>SPPL2A</t>
  </si>
  <si>
    <t>ENSG00000138678</t>
  </si>
  <si>
    <t>GPAT3</t>
  </si>
  <si>
    <t>ENSG00000138684</t>
  </si>
  <si>
    <t>IL21</t>
  </si>
  <si>
    <t>ENSG00000139211</t>
  </si>
  <si>
    <t>AMIGO2</t>
  </si>
  <si>
    <t>ENSG00000139278</t>
  </si>
  <si>
    <t>GLIPR1</t>
  </si>
  <si>
    <t>ENSG00000139318</t>
  </si>
  <si>
    <t>DUSP6</t>
  </si>
  <si>
    <t>ENSG00000139597</t>
  </si>
  <si>
    <t>N4BP2L1</t>
  </si>
  <si>
    <t>ENSG00000140199</t>
  </si>
  <si>
    <t>SLC12A6</t>
  </si>
  <si>
    <t>ENSG00000140326</t>
  </si>
  <si>
    <t>CDAN1</t>
  </si>
  <si>
    <t>ENSG00000140379</t>
  </si>
  <si>
    <t>BCL2A1</t>
  </si>
  <si>
    <t>ENSG00000140525</t>
  </si>
  <si>
    <t>FANCI</t>
  </si>
  <si>
    <t>ENSG00000140678</t>
  </si>
  <si>
    <t>ITGAX</t>
  </si>
  <si>
    <t>ENSG00000140968</t>
  </si>
  <si>
    <t>IRF8</t>
  </si>
  <si>
    <t>ENSG00000141506</t>
  </si>
  <si>
    <t>PIK3R5</t>
  </si>
  <si>
    <t>ENSG00000141560</t>
  </si>
  <si>
    <t>FN3KRP</t>
  </si>
  <si>
    <t>ENSG00000143153</t>
  </si>
  <si>
    <t>ATP1B1</t>
  </si>
  <si>
    <t>ENSG00000143184</t>
  </si>
  <si>
    <t>XCL1</t>
  </si>
  <si>
    <t>ENSG00000143185</t>
  </si>
  <si>
    <t>XCL2</t>
  </si>
  <si>
    <t>ENSG00000143333</t>
  </si>
  <si>
    <t>RGS16</t>
  </si>
  <si>
    <t>ENSG00000143476</t>
  </si>
  <si>
    <t>DTL</t>
  </si>
  <si>
    <t>ENSG00000143653</t>
  </si>
  <si>
    <t>SCCPDH</t>
  </si>
  <si>
    <t>ENSG00000143799</t>
  </si>
  <si>
    <t>PARP1</t>
  </si>
  <si>
    <t>ENSG00000144354</t>
  </si>
  <si>
    <t>CDCA7</t>
  </si>
  <si>
    <t>ENSG00000145349</t>
  </si>
  <si>
    <t>CAMK2D</t>
  </si>
  <si>
    <t>ENSG00000145730</t>
  </si>
  <si>
    <t>PAM</t>
  </si>
  <si>
    <t>ENSG00000145901</t>
  </si>
  <si>
    <t>TNIP1</t>
  </si>
  <si>
    <t>ENSG00000149554</t>
  </si>
  <si>
    <t>CHEK1</t>
  </si>
  <si>
    <t>ENSG00000149929</t>
  </si>
  <si>
    <t>HIRIP3</t>
  </si>
  <si>
    <t>ENSG00000150637</t>
  </si>
  <si>
    <t>CD226</t>
  </si>
  <si>
    <t>ENSG00000150687</t>
  </si>
  <si>
    <t>PRSS23</t>
  </si>
  <si>
    <t>ENSG00000151500</t>
  </si>
  <si>
    <t>THYN1</t>
  </si>
  <si>
    <t>ENSG00000151502</t>
  </si>
  <si>
    <t>VPS26B</t>
  </si>
  <si>
    <t>ENSG00000151503</t>
  </si>
  <si>
    <t>NCAPD3</t>
  </si>
  <si>
    <t>ENSG00000152492</t>
  </si>
  <si>
    <t>CCDC50</t>
  </si>
  <si>
    <t>ENSG00000153048</t>
  </si>
  <si>
    <t>CARHSP1</t>
  </si>
  <si>
    <t>ENSG00000153094</t>
  </si>
  <si>
    <t>BCL2L11</t>
  </si>
  <si>
    <t>ENSG00000153898</t>
  </si>
  <si>
    <t>MCOLN2</t>
  </si>
  <si>
    <t>ENSG00000155090</t>
  </si>
  <si>
    <t>KLF10</t>
  </si>
  <si>
    <t>ENSG00000156531</t>
  </si>
  <si>
    <t>PHF6</t>
  </si>
  <si>
    <t>ENSG00000156675</t>
  </si>
  <si>
    <t>RAB11FIP1</t>
  </si>
  <si>
    <t>ENSG00000156709</t>
  </si>
  <si>
    <t>AIFM1</t>
  </si>
  <si>
    <t>ENSG00000156711</t>
  </si>
  <si>
    <t>MAPK13</t>
  </si>
  <si>
    <t>ENSG00000156802</t>
  </si>
  <si>
    <t>ATAD2</t>
  </si>
  <si>
    <t>ENSG00000158050</t>
  </si>
  <si>
    <t>DUSP2</t>
  </si>
  <si>
    <t>ENSG00000158417</t>
  </si>
  <si>
    <t>EIF5B</t>
  </si>
  <si>
    <t>ENSG00000160007</t>
  </si>
  <si>
    <t>ARHGAP35</t>
  </si>
  <si>
    <t>ENSG00000160446</t>
  </si>
  <si>
    <t>ZDHHC12</t>
  </si>
  <si>
    <t>ENSG00000160584</t>
  </si>
  <si>
    <t>SIK3</t>
  </si>
  <si>
    <t>ENSG00000160752</t>
  </si>
  <si>
    <t>FDPS</t>
  </si>
  <si>
    <t>ENSG00000160957</t>
  </si>
  <si>
    <t>RECQL4</t>
  </si>
  <si>
    <t>ENSG00000161791</t>
  </si>
  <si>
    <t>FMNL3</t>
  </si>
  <si>
    <t>ENSG00000162636</t>
  </si>
  <si>
    <t>EEIG2</t>
  </si>
  <si>
    <t>ENSG00000162645</t>
  </si>
  <si>
    <t>GBP2</t>
  </si>
  <si>
    <t>ENSG00000162729</t>
  </si>
  <si>
    <t>IGSF8</t>
  </si>
  <si>
    <t>ENSG00000162889</t>
  </si>
  <si>
    <t>MAPKAPK2</t>
  </si>
  <si>
    <t>ENSG00000163918</t>
  </si>
  <si>
    <t>RFC4</t>
  </si>
  <si>
    <t>ENSG00000163947</t>
  </si>
  <si>
    <t>ARHGEF3</t>
  </si>
  <si>
    <t>ENSG00000164045</t>
  </si>
  <si>
    <t>CDC25A</t>
  </si>
  <si>
    <t>ENSG00000164086</t>
  </si>
  <si>
    <t>DUSP7</t>
  </si>
  <si>
    <t>ENSG00000164104</t>
  </si>
  <si>
    <t>HMGB2</t>
  </si>
  <si>
    <t>ENSG00000164211</t>
  </si>
  <si>
    <t>STARD4</t>
  </si>
  <si>
    <t>ENSG00000164649</t>
  </si>
  <si>
    <t>CDCA7L</t>
  </si>
  <si>
    <t>ENSG00000165071</t>
  </si>
  <si>
    <t>TMEM71</t>
  </si>
  <si>
    <t>ENSG00000165169</t>
  </si>
  <si>
    <t>DYNLT3</t>
  </si>
  <si>
    <t>ENSG00000165501</t>
  </si>
  <si>
    <t>LRR1</t>
  </si>
  <si>
    <t>ENSG00000165671</t>
  </si>
  <si>
    <t>NSD1</t>
  </si>
  <si>
    <t>ENSG00000165929</t>
  </si>
  <si>
    <t>TC2N</t>
  </si>
  <si>
    <t>ENSG00000165997</t>
  </si>
  <si>
    <t>ARL5B</t>
  </si>
  <si>
    <t>ENSG00000166016</t>
  </si>
  <si>
    <t>ABTB2</t>
  </si>
  <si>
    <t>ENSG00000166128</t>
  </si>
  <si>
    <t>RAB8B</t>
  </si>
  <si>
    <t>ENSG00000166508</t>
  </si>
  <si>
    <t>MCM7</t>
  </si>
  <si>
    <t>ENSG00000166888</t>
  </si>
  <si>
    <t>STAT6</t>
  </si>
  <si>
    <t>ENSG00000167325</t>
  </si>
  <si>
    <t>RRM1</t>
  </si>
  <si>
    <t>ENSG00000167513</t>
  </si>
  <si>
    <t>CDT1</t>
  </si>
  <si>
    <t>ENSG00000167552</t>
  </si>
  <si>
    <t>TUBA1A</t>
  </si>
  <si>
    <t>ENSG00000167645</t>
  </si>
  <si>
    <t>YIF1B</t>
  </si>
  <si>
    <t>ENSG00000167670</t>
  </si>
  <si>
    <t>CHAF1A</t>
  </si>
  <si>
    <t>ENSG00000167797</t>
  </si>
  <si>
    <t>CDK2AP2</t>
  </si>
  <si>
    <t>ENSG00000167874</t>
  </si>
  <si>
    <t>TMEM88</t>
  </si>
  <si>
    <t>ENSG00000167895</t>
  </si>
  <si>
    <t>TMC8</t>
  </si>
  <si>
    <t>ENSG00000167900</t>
  </si>
  <si>
    <t>TK1</t>
  </si>
  <si>
    <t>ENSG00000168268</t>
  </si>
  <si>
    <t>NT5DC2</t>
  </si>
  <si>
    <t>ENSG00000168496</t>
  </si>
  <si>
    <t>FEN1</t>
  </si>
  <si>
    <t>ENSG00000168685</t>
  </si>
  <si>
    <t>IL7R</t>
  </si>
  <si>
    <t>ENSG00000169194</t>
  </si>
  <si>
    <t>IL13</t>
  </si>
  <si>
    <t>ENSG00000169221</t>
  </si>
  <si>
    <t>TBC1D10B</t>
  </si>
  <si>
    <t>ENSG00000169508</t>
  </si>
  <si>
    <t>GPR183</t>
  </si>
  <si>
    <t>ENSG00000169607</t>
  </si>
  <si>
    <t>CKAP2L</t>
  </si>
  <si>
    <t>ENSG00000169919</t>
  </si>
  <si>
    <t>GUSB</t>
  </si>
  <si>
    <t>ENSG00000169926</t>
  </si>
  <si>
    <t>KLF13</t>
  </si>
  <si>
    <t>ENSG00000170017</t>
  </si>
  <si>
    <t>ALCAM</t>
  </si>
  <si>
    <t>ENSG00000170035</t>
  </si>
  <si>
    <t>UBE2E3</t>
  </si>
  <si>
    <t>ENSG00000170113</t>
  </si>
  <si>
    <t>NIPA1</t>
  </si>
  <si>
    <t>ENSG00000170525</t>
  </si>
  <si>
    <t>PFKFB3</t>
  </si>
  <si>
    <t>ENSG00000170873</t>
  </si>
  <si>
    <t>MTSS1</t>
  </si>
  <si>
    <t>ENSG00000171148</t>
  </si>
  <si>
    <t>TADA3</t>
  </si>
  <si>
    <t>ENSG00000171552</t>
  </si>
  <si>
    <t>BCL2L1</t>
  </si>
  <si>
    <t>ENSG00000171848</t>
  </si>
  <si>
    <t>RRM2</t>
  </si>
  <si>
    <t>ENSG00000171867</t>
  </si>
  <si>
    <t>PRNP</t>
  </si>
  <si>
    <t>ENSG00000172215</t>
  </si>
  <si>
    <t>CXCR6</t>
  </si>
  <si>
    <t>ENSG00000172375</t>
  </si>
  <si>
    <t>C2CD2L</t>
  </si>
  <si>
    <t>ENSG00000172530</t>
  </si>
  <si>
    <t>BANP</t>
  </si>
  <si>
    <t>ENSG00000172673</t>
  </si>
  <si>
    <t>THEMIS</t>
  </si>
  <si>
    <t>ENSG00000172932</t>
  </si>
  <si>
    <t>ANKRD13D</t>
  </si>
  <si>
    <t>ENSG00000173020</t>
  </si>
  <si>
    <t>GRK2</t>
  </si>
  <si>
    <t>ENSG00000173276</t>
  </si>
  <si>
    <t>ZBTB21</t>
  </si>
  <si>
    <t>ENSG00000174013</t>
  </si>
  <si>
    <t>FBXO45</t>
  </si>
  <si>
    <t>ENSG00000174371</t>
  </si>
  <si>
    <t>EXO1</t>
  </si>
  <si>
    <t>ENSG00000174946</t>
  </si>
  <si>
    <t>GPR171</t>
  </si>
  <si>
    <t>ENSG00000175063</t>
  </si>
  <si>
    <t>UBE2C</t>
  </si>
  <si>
    <t>ENSG00000175505</t>
  </si>
  <si>
    <t>CLCF1</t>
  </si>
  <si>
    <t>ENSG00000176393</t>
  </si>
  <si>
    <t>RNPEP</t>
  </si>
  <si>
    <t>ENSG00000176597</t>
  </si>
  <si>
    <t>B3GNT5</t>
  </si>
  <si>
    <t>ENSG00000176890</t>
  </si>
  <si>
    <t>TYMS</t>
  </si>
  <si>
    <t>ENSG00000177084</t>
  </si>
  <si>
    <t>POLE</t>
  </si>
  <si>
    <t>ENSG00000177426</t>
  </si>
  <si>
    <t>TGIF1</t>
  </si>
  <si>
    <t>ENSG00000177663</t>
  </si>
  <si>
    <t>IL17RA</t>
  </si>
  <si>
    <t>ENSG00000178199</t>
  </si>
  <si>
    <t>ZC3H12D</t>
  </si>
  <si>
    <t>ENSG00000178623</t>
  </si>
  <si>
    <t>GPR35</t>
  </si>
  <si>
    <t>ENSG00000178764</t>
  </si>
  <si>
    <t>ZHX2</t>
  </si>
  <si>
    <t>ENSG00000178999</t>
  </si>
  <si>
    <t>AURKB</t>
  </si>
  <si>
    <t>ENSG00000182173</t>
  </si>
  <si>
    <t>TSEN54</t>
  </si>
  <si>
    <t>ENSG00000183010</t>
  </si>
  <si>
    <t>PYCR1</t>
  </si>
  <si>
    <t>ENSG00000184117</t>
  </si>
  <si>
    <t>NIPSNAP1</t>
  </si>
  <si>
    <t>ENSG00000184203</t>
  </si>
  <si>
    <t>PPP1R2</t>
  </si>
  <si>
    <t>ENSG00000184207</t>
  </si>
  <si>
    <t>PGP</t>
  </si>
  <si>
    <t>ENSG00000184574</t>
  </si>
  <si>
    <t>LPAR5</t>
  </si>
  <si>
    <t>ENSG00000184640</t>
  </si>
  <si>
    <t>SEPTIN9</t>
  </si>
  <si>
    <t>ENSG00000184992</t>
  </si>
  <si>
    <t>BRI3BP</t>
  </si>
  <si>
    <t>ENSG00000185862</t>
  </si>
  <si>
    <t>EVI2B</t>
  </si>
  <si>
    <t>ENSG00000185896</t>
  </si>
  <si>
    <t>LAMP1</t>
  </si>
  <si>
    <t>ENSG00000186141</t>
  </si>
  <si>
    <t>POLR3C</t>
  </si>
  <si>
    <t>ENSG00000186185</t>
  </si>
  <si>
    <t>KIF18B</t>
  </si>
  <si>
    <t>ENSG00000186480</t>
  </si>
  <si>
    <t>INSIG1</t>
  </si>
  <si>
    <t>ENSG00000187840</t>
  </si>
  <si>
    <t>EIF4EBP1</t>
  </si>
  <si>
    <t>ENSG00000188186</t>
  </si>
  <si>
    <t>LAMTOR4</t>
  </si>
  <si>
    <t>ENSG00000188229</t>
  </si>
  <si>
    <t>TUBB4B</t>
  </si>
  <si>
    <t>ENSG00000188389</t>
  </si>
  <si>
    <t>PDCD1</t>
  </si>
  <si>
    <t>ENSG00000196230</t>
  </si>
  <si>
    <t>TUBB</t>
  </si>
  <si>
    <t>ENSG00000196465</t>
  </si>
  <si>
    <t>MYL6B</t>
  </si>
  <si>
    <t>ENSG00000196976</t>
  </si>
  <si>
    <t>LAGE3</t>
  </si>
  <si>
    <t>ENSG00000198517</t>
  </si>
  <si>
    <t>MAFK</t>
  </si>
  <si>
    <t>ENSG00000198937</t>
  </si>
  <si>
    <t>CCDC167</t>
  </si>
  <si>
    <t>ENSG00000198951</t>
  </si>
  <si>
    <t>NAGA</t>
  </si>
  <si>
    <t>ENSG00000204482</t>
  </si>
  <si>
    <t>LST1</t>
  </si>
  <si>
    <t>ENSG00000204592</t>
  </si>
  <si>
    <t>HLA-E</t>
  </si>
  <si>
    <t>ENSG00000205730</t>
  </si>
  <si>
    <t>ITPRIPL2</t>
  </si>
  <si>
    <t>ENSG00000213445</t>
  </si>
  <si>
    <t>SIPA1</t>
  </si>
  <si>
    <t>ENSG00000213654</t>
  </si>
  <si>
    <t>GPSM3</t>
  </si>
  <si>
    <t>ENSG00000214114</t>
  </si>
  <si>
    <t>MYCBP</t>
  </si>
  <si>
    <t>ENSG00000215252</t>
  </si>
  <si>
    <t>GOLGA8B</t>
  </si>
  <si>
    <t>ENSG00000221829</t>
  </si>
  <si>
    <t>FANCG</t>
  </si>
  <si>
    <t>ENSG00000221869</t>
  </si>
  <si>
    <t>CEBPD</t>
  </si>
  <si>
    <t>ENSG00000222009</t>
  </si>
  <si>
    <t>BTBD19</t>
  </si>
  <si>
    <t>ENSG00000222041</t>
  </si>
  <si>
    <t>CYTOR</t>
  </si>
  <si>
    <t>ENSG00000223551</t>
  </si>
  <si>
    <t>TMSB4XP4</t>
  </si>
  <si>
    <t>ENSG00000226979</t>
  </si>
  <si>
    <t>LTA</t>
  </si>
  <si>
    <t>ENSG00000230291</t>
  </si>
  <si>
    <t>RPL26P32</t>
  </si>
  <si>
    <t>ENSG00000233276</t>
  </si>
  <si>
    <t>GPX1</t>
  </si>
  <si>
    <t>ENSG00000234883</t>
  </si>
  <si>
    <t>MIR155HG</t>
  </si>
  <si>
    <t>ENSG00000237649</t>
  </si>
  <si>
    <t>KIFC1</t>
  </si>
  <si>
    <t>ENSG00000247556</t>
  </si>
  <si>
    <t>OIP5-AS1</t>
  </si>
  <si>
    <t>ENSG00000247774</t>
  </si>
  <si>
    <t>PCED1B-AS1</t>
  </si>
  <si>
    <t>ENSG00000249115</t>
  </si>
  <si>
    <t>HAUS5</t>
  </si>
  <si>
    <t>ENSG00000250479</t>
  </si>
  <si>
    <t>CHCHD10</t>
  </si>
  <si>
    <t>ENSG00000263050</t>
  </si>
  <si>
    <t>DPH1-AS1</t>
  </si>
  <si>
    <t>ENSG00000270069</t>
  </si>
  <si>
    <t>MIR222HG</t>
  </si>
  <si>
    <t>ENSG00000271856</t>
  </si>
  <si>
    <t>LINC01215</t>
  </si>
  <si>
    <t>ENSG00000273443</t>
  </si>
  <si>
    <t>ENSG00000276070</t>
  </si>
  <si>
    <t>CCL4L2</t>
  </si>
  <si>
    <t>ENSG00000280798</t>
  </si>
  <si>
    <t>LINC00294</t>
  </si>
  <si>
    <t>Average</t>
    <phoneticPr fontId="1" type="noConversion"/>
  </si>
  <si>
    <t>HD-2</t>
    <phoneticPr fontId="1" type="noConversion"/>
  </si>
  <si>
    <t>HD-1</t>
    <phoneticPr fontId="1" type="noConversion"/>
  </si>
  <si>
    <t>HD-3</t>
    <phoneticPr fontId="1" type="noConversion"/>
  </si>
  <si>
    <t>Log fold change ( γδ2 T-Da/ γδ2 T-Ve )</t>
    <phoneticPr fontId="1" type="noConversion"/>
  </si>
  <si>
    <t>p-value</t>
    <phoneticPr fontId="1" type="noConversion"/>
  </si>
  <si>
    <r>
      <t>Supplementary Table S6. Selected differentially expressed genes in CD3⁺Vδ2⁺ T cells after dasatinib treatment</t>
    </r>
    <r>
      <rPr>
        <b/>
        <sz val="16"/>
        <rFont val="Microsoft JhengHei"/>
        <family val="1"/>
        <charset val="136"/>
      </rPr>
      <t>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</si>
</sst>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sz val="16"/>
      <name val="Times New Roman"/>
      <family val="1"/>
    </font>
    <font>
      <b/>
      <sz val="16"/>
      <name val="Microsoft JhengHei"/>
      <family val="1"/>
      <charset val="136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1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1" fontId="2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6" fontId="2" fillId="0" borderId="6" xfId="0" applyNumberFormat="1" applyFont="1" applyBorder="1" applyAlignment="1">
      <alignment horizontal="center"/>
    </xf>
    <xf numFmtId="11" fontId="2" fillId="0" borderId="6" xfId="0" applyNumberFormat="1" applyFont="1" applyBorder="1" applyAlignment="1">
      <alignment horizontal="center"/>
    </xf>
    <xf numFmtId="11" fontId="2" fillId="0" borderId="7" xfId="0" applyNumberFormat="1" applyFont="1" applyBorder="1" applyAlignment="1">
      <alignment horizontal="center"/>
    </xf>
    <xf numFmtId="176" fontId="2" fillId="0" borderId="11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76" fontId="2" fillId="0" borderId="9" xfId="0" applyNumberFormat="1" applyFont="1" applyBorder="1" applyAlignment="1">
      <alignment horizontal="center"/>
    </xf>
    <xf numFmtId="11" fontId="2" fillId="0" borderId="9" xfId="0" applyNumberFormat="1" applyFont="1" applyBorder="1" applyAlignment="1">
      <alignment horizontal="center"/>
    </xf>
    <xf numFmtId="11" fontId="2" fillId="0" borderId="10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76" fontId="3" fillId="0" borderId="13" xfId="0" applyNumberFormat="1" applyFont="1" applyBorder="1" applyAlignment="1">
      <alignment horizontal="center"/>
    </xf>
    <xf numFmtId="11" fontId="3" fillId="0" borderId="13" xfId="0" applyNumberFormat="1" applyFont="1" applyBorder="1" applyAlignment="1">
      <alignment horizontal="center"/>
    </xf>
    <xf numFmtId="11" fontId="3" fillId="0" borderId="14" xfId="0" applyNumberFormat="1" applyFont="1" applyBorder="1" applyAlignment="1">
      <alignment horizontal="center"/>
    </xf>
    <xf numFmtId="176" fontId="3" fillId="0" borderId="11" xfId="0" applyNumberFormat="1" applyFont="1" applyBorder="1" applyAlignment="1">
      <alignment horizontal="center"/>
    </xf>
    <xf numFmtId="11" fontId="3" fillId="0" borderId="11" xfId="0" applyNumberFormat="1" applyFont="1" applyBorder="1" applyAlignment="1">
      <alignment horizontal="center"/>
    </xf>
    <xf numFmtId="11" fontId="3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892A-DCBC-48A7-AE29-DD1BFF6A8778}">
  <dimension ref="A1:K348"/>
  <sheetViews>
    <sheetView tabSelected="1" topLeftCell="C1" zoomScale="90" zoomScaleNormal="90" workbookViewId="0">
      <selection activeCell="P23" sqref="P23"/>
    </sheetView>
  </sheetViews>
  <sheetFormatPr defaultColWidth="8.8203125" defaultRowHeight="14.1"/>
  <cols>
    <col min="1" max="1" width="8.8203125" style="1"/>
    <col min="2" max="3" width="13.5859375" style="1" customWidth="1"/>
    <col min="4" max="4" width="14.46875" style="1" bestFit="1" customWidth="1"/>
    <col min="5" max="5" width="15.8203125" style="2" customWidth="1"/>
    <col min="6" max="6" width="20.29296875" style="2" bestFit="1" customWidth="1"/>
    <col min="7" max="7" width="18.17578125" style="2" bestFit="1" customWidth="1"/>
    <col min="8" max="8" width="18.1171875" style="2" customWidth="1"/>
    <col min="9" max="10" width="19.5859375" style="4" bestFit="1" customWidth="1"/>
    <col min="11" max="11" width="17.41015625" style="4" bestFit="1" customWidth="1"/>
    <col min="12" max="16384" width="8.8203125" style="1"/>
  </cols>
  <sheetData>
    <row r="1" spans="1:11" ht="50.05" customHeight="1" thickBot="1">
      <c r="D1" s="26" t="s">
        <v>697</v>
      </c>
      <c r="E1" s="26"/>
      <c r="F1" s="26"/>
      <c r="G1" s="26"/>
      <c r="H1" s="26"/>
      <c r="I1" s="26"/>
      <c r="J1" s="26"/>
      <c r="K1" s="26"/>
    </row>
    <row r="2" spans="1:11" ht="14.4" thickBot="1">
      <c r="D2" s="7"/>
      <c r="E2" s="23" t="s">
        <v>695</v>
      </c>
      <c r="F2" s="23"/>
      <c r="G2" s="23"/>
      <c r="H2" s="14"/>
      <c r="I2" s="24" t="s">
        <v>696</v>
      </c>
      <c r="J2" s="24"/>
      <c r="K2" s="25"/>
    </row>
    <row r="3" spans="1:11" s="3" customFormat="1" thickBot="1">
      <c r="A3" s="3" t="s">
        <v>0</v>
      </c>
      <c r="B3" s="3" t="s">
        <v>1</v>
      </c>
      <c r="D3" s="19" t="s">
        <v>1</v>
      </c>
      <c r="E3" s="20" t="s">
        <v>693</v>
      </c>
      <c r="F3" s="20" t="s">
        <v>692</v>
      </c>
      <c r="G3" s="20" t="s">
        <v>694</v>
      </c>
      <c r="H3" s="20" t="s">
        <v>691</v>
      </c>
      <c r="I3" s="21" t="s">
        <v>693</v>
      </c>
      <c r="J3" s="21" t="s">
        <v>692</v>
      </c>
      <c r="K3" s="22" t="s">
        <v>694</v>
      </c>
    </row>
    <row r="4" spans="1:11">
      <c r="A4" s="1" t="s">
        <v>156</v>
      </c>
      <c r="B4" s="1" t="s">
        <v>157</v>
      </c>
      <c r="D4" s="15" t="s">
        <v>157</v>
      </c>
      <c r="E4" s="16">
        <v>3.89993206831622</v>
      </c>
      <c r="F4" s="16">
        <v>1.81109473663978</v>
      </c>
      <c r="G4" s="16">
        <v>7.10941786030756</v>
      </c>
      <c r="H4" s="16">
        <f t="shared" ref="H4:H66" si="0">AVERAGE(E4:G4)</f>
        <v>4.2734815550878533</v>
      </c>
      <c r="I4" s="17">
        <v>1.50082856973707E-64</v>
      </c>
      <c r="J4" s="17">
        <v>3.36358774248418E-17</v>
      </c>
      <c r="K4" s="18">
        <v>9.7164798742023801E-107</v>
      </c>
    </row>
    <row r="5" spans="1:11">
      <c r="A5" s="1" t="s">
        <v>260</v>
      </c>
      <c r="B5" s="1" t="s">
        <v>261</v>
      </c>
      <c r="D5" s="8" t="s">
        <v>261</v>
      </c>
      <c r="E5" s="5">
        <v>3.6156489084999999</v>
      </c>
      <c r="F5" s="5">
        <v>1.6096357225439699</v>
      </c>
      <c r="G5" s="5">
        <v>7.4930224505805096</v>
      </c>
      <c r="H5" s="5">
        <f t="shared" si="0"/>
        <v>4.2394356938748263</v>
      </c>
      <c r="I5" s="6">
        <v>1.4645972106484899E-51</v>
      </c>
      <c r="J5" s="6">
        <v>6.1064287094690098E-11</v>
      </c>
      <c r="K5" s="9">
        <v>3.00607430897365E-32</v>
      </c>
    </row>
    <row r="6" spans="1:11">
      <c r="A6" s="1" t="s">
        <v>354</v>
      </c>
      <c r="B6" s="1" t="s">
        <v>355</v>
      </c>
      <c r="D6" s="8" t="s">
        <v>355</v>
      </c>
      <c r="E6" s="5">
        <v>3.1824747091832801</v>
      </c>
      <c r="F6" s="5">
        <v>2.2098391636770098</v>
      </c>
      <c r="G6" s="5">
        <v>4.5940543817141304</v>
      </c>
      <c r="H6" s="5">
        <f t="shared" si="0"/>
        <v>3.3287894181914734</v>
      </c>
      <c r="I6" s="6">
        <v>4.5134925394976502E-46</v>
      </c>
      <c r="J6" s="6">
        <v>1.5300233705639599E-23</v>
      </c>
      <c r="K6" s="9">
        <v>3.7623638111973799E-61</v>
      </c>
    </row>
    <row r="7" spans="1:11">
      <c r="A7" s="1" t="s">
        <v>384</v>
      </c>
      <c r="B7" s="1" t="s">
        <v>385</v>
      </c>
      <c r="D7" s="8" t="s">
        <v>385</v>
      </c>
      <c r="E7" s="5">
        <v>2.6162483383115198</v>
      </c>
      <c r="F7" s="5">
        <v>1.2084083186957599</v>
      </c>
      <c r="G7" s="5">
        <v>5.5590548955579502</v>
      </c>
      <c r="H7" s="5">
        <f t="shared" si="0"/>
        <v>3.1279038508550769</v>
      </c>
      <c r="I7" s="6">
        <v>1.8684847453140098E-33</v>
      </c>
      <c r="J7" s="6">
        <v>5.8979457533217201E-9</v>
      </c>
      <c r="K7" s="9">
        <v>1.4916445713083199E-108</v>
      </c>
    </row>
    <row r="8" spans="1:11">
      <c r="A8" s="1" t="s">
        <v>516</v>
      </c>
      <c r="B8" s="1" t="s">
        <v>517</v>
      </c>
      <c r="D8" s="8" t="s">
        <v>517</v>
      </c>
      <c r="E8" s="5">
        <v>2.6173177611019498</v>
      </c>
      <c r="F8" s="5">
        <v>1.9251821089260699</v>
      </c>
      <c r="G8" s="5">
        <v>4.7963263615537404</v>
      </c>
      <c r="H8" s="5">
        <f t="shared" si="0"/>
        <v>3.1129420771939196</v>
      </c>
      <c r="I8" s="6">
        <v>3.2918823739111999E-30</v>
      </c>
      <c r="J8" s="6">
        <v>1.66981572629149E-17</v>
      </c>
      <c r="K8" s="9">
        <v>3.0846232597588002E-72</v>
      </c>
    </row>
    <row r="9" spans="1:11">
      <c r="A9" s="1" t="s">
        <v>206</v>
      </c>
      <c r="B9" s="1" t="s">
        <v>207</v>
      </c>
      <c r="D9" s="8" t="s">
        <v>207</v>
      </c>
      <c r="E9" s="5">
        <v>1.8129150268777701</v>
      </c>
      <c r="F9" s="5">
        <v>3.3041299547680101</v>
      </c>
      <c r="G9" s="5">
        <v>4.0935937184522304</v>
      </c>
      <c r="H9" s="5">
        <f t="shared" si="0"/>
        <v>3.0702129000326699</v>
      </c>
      <c r="I9" s="6">
        <v>1.5555845144714101E-17</v>
      </c>
      <c r="J9" s="6">
        <v>1.8495652318603099E-43</v>
      </c>
      <c r="K9" s="9">
        <v>1.33778014590472E-11</v>
      </c>
    </row>
    <row r="10" spans="1:11">
      <c r="A10" s="1" t="s">
        <v>382</v>
      </c>
      <c r="B10" s="1" t="s">
        <v>383</v>
      </c>
      <c r="D10" s="8" t="s">
        <v>383</v>
      </c>
      <c r="E10" s="5">
        <v>2.5509328406085698</v>
      </c>
      <c r="F10" s="5">
        <v>1.2540530602714399</v>
      </c>
      <c r="G10" s="5">
        <v>5.1218665790243696</v>
      </c>
      <c r="H10" s="5">
        <f t="shared" si="0"/>
        <v>2.9756174933014599</v>
      </c>
      <c r="I10" s="6">
        <v>4.8660202062466198E-32</v>
      </c>
      <c r="J10" s="6">
        <v>1.60773395191517E-9</v>
      </c>
      <c r="K10" s="9">
        <v>8.1567754561763901E-96</v>
      </c>
    </row>
    <row r="11" spans="1:11">
      <c r="A11" s="1" t="s">
        <v>174</v>
      </c>
      <c r="B11" s="1" t="s">
        <v>175</v>
      </c>
      <c r="D11" s="8" t="s">
        <v>175</v>
      </c>
      <c r="E11" s="5">
        <v>4.4235255931739497</v>
      </c>
      <c r="F11" s="5">
        <v>3.1081540172887698</v>
      </c>
      <c r="G11" s="5" t="e">
        <f>LOG(#REF!/#REF!,2)</f>
        <v>#REF!</v>
      </c>
      <c r="H11" s="5">
        <f>AVERAGE(E11:F11)</f>
        <v>3.7658398052313595</v>
      </c>
      <c r="I11" s="6">
        <v>5.3611078252219004E-68</v>
      </c>
      <c r="J11" s="6">
        <v>1.3996963164435099E-20</v>
      </c>
      <c r="K11" s="9">
        <v>1.5428452399082201E-5</v>
      </c>
    </row>
    <row r="12" spans="1:11">
      <c r="A12" s="1" t="s">
        <v>570</v>
      </c>
      <c r="B12" s="1" t="s">
        <v>571</v>
      </c>
      <c r="D12" s="8" t="s">
        <v>571</v>
      </c>
      <c r="E12" s="5">
        <v>3.6294370936621498</v>
      </c>
      <c r="F12" s="5">
        <v>1.72604689174951</v>
      </c>
      <c r="G12" s="5">
        <v>3.5204309303793799</v>
      </c>
      <c r="H12" s="5">
        <f t="shared" si="0"/>
        <v>2.9586383052636798</v>
      </c>
      <c r="I12" s="6">
        <v>1.1439465661088899E-24</v>
      </c>
      <c r="J12" s="6">
        <v>3.79056226704225E-9</v>
      </c>
      <c r="K12" s="9">
        <v>1.1688473430175999E-22</v>
      </c>
    </row>
    <row r="13" spans="1:11">
      <c r="A13" s="1" t="s">
        <v>150</v>
      </c>
      <c r="B13" s="1" t="s">
        <v>151</v>
      </c>
      <c r="D13" s="8" t="s">
        <v>151</v>
      </c>
      <c r="E13" s="5">
        <v>2.7976905958871798</v>
      </c>
      <c r="F13" s="5">
        <v>2.1294222275745001</v>
      </c>
      <c r="G13" s="5">
        <v>3.6278628278309899</v>
      </c>
      <c r="H13" s="5">
        <f t="shared" si="0"/>
        <v>2.8516585504308902</v>
      </c>
      <c r="I13" s="6">
        <v>6.3276097539502007E-33</v>
      </c>
      <c r="J13" s="6">
        <v>1.3560968556040901E-16</v>
      </c>
      <c r="K13" s="9">
        <v>6.7191247932316799E-37</v>
      </c>
    </row>
    <row r="14" spans="1:11">
      <c r="A14" s="1" t="s">
        <v>200</v>
      </c>
      <c r="B14" s="1" t="s">
        <v>201</v>
      </c>
      <c r="D14" s="8" t="s">
        <v>201</v>
      </c>
      <c r="E14" s="5">
        <v>2.5856993864072702</v>
      </c>
      <c r="F14" s="5">
        <v>1.8280696954418301</v>
      </c>
      <c r="G14" s="5">
        <v>3.5182083909187001</v>
      </c>
      <c r="H14" s="5">
        <f t="shared" si="0"/>
        <v>2.6439924909225998</v>
      </c>
      <c r="I14" s="6">
        <v>2.82348134743866E-32</v>
      </c>
      <c r="J14" s="6">
        <v>4.7107247484075002E-16</v>
      </c>
      <c r="K14" s="9">
        <v>2.61762365544869E-36</v>
      </c>
    </row>
    <row r="15" spans="1:11">
      <c r="A15" s="1" t="s">
        <v>168</v>
      </c>
      <c r="B15" s="1" t="s">
        <v>169</v>
      </c>
      <c r="D15" s="8" t="s">
        <v>169</v>
      </c>
      <c r="E15" s="5">
        <v>2.1508535562221298</v>
      </c>
      <c r="F15" s="5">
        <v>1.38828429252151</v>
      </c>
      <c r="G15" s="5">
        <v>3.7472390289962698</v>
      </c>
      <c r="H15" s="5">
        <f t="shared" si="0"/>
        <v>2.4287922925799701</v>
      </c>
      <c r="I15" s="6">
        <v>1.6276512759917E-13</v>
      </c>
      <c r="J15" s="6">
        <v>3.7686696703116798E-7</v>
      </c>
      <c r="K15" s="9">
        <v>1.0194035381281699E-13</v>
      </c>
    </row>
    <row r="16" spans="1:11">
      <c r="A16" s="1" t="s">
        <v>128</v>
      </c>
      <c r="B16" s="1" t="s">
        <v>129</v>
      </c>
      <c r="D16" s="8" t="s">
        <v>129</v>
      </c>
      <c r="E16" s="5">
        <v>1.8087799656647201</v>
      </c>
      <c r="F16" s="5">
        <v>2.4684454410640502</v>
      </c>
      <c r="G16" s="5">
        <v>2.98750081134602</v>
      </c>
      <c r="H16" s="5">
        <f t="shared" si="0"/>
        <v>2.4215754060249299</v>
      </c>
      <c r="I16" s="6">
        <v>1.24792225658164E-16</v>
      </c>
      <c r="J16" s="6">
        <v>2.3209000706080201E-19</v>
      </c>
      <c r="K16" s="9">
        <v>9.3343630157952298E-35</v>
      </c>
    </row>
    <row r="17" spans="1:11">
      <c r="A17" s="1" t="s">
        <v>170</v>
      </c>
      <c r="B17" s="1" t="s">
        <v>171</v>
      </c>
      <c r="D17" s="8" t="s">
        <v>171</v>
      </c>
      <c r="E17" s="5">
        <v>2.1091842450143798</v>
      </c>
      <c r="F17" s="5">
        <v>0.83591406321763395</v>
      </c>
      <c r="G17" s="5">
        <v>3.6621142582511901</v>
      </c>
      <c r="H17" s="5">
        <f t="shared" si="0"/>
        <v>2.2024041888277348</v>
      </c>
      <c r="I17" s="6">
        <v>3.6448077691068098E-23</v>
      </c>
      <c r="J17" s="6">
        <v>4.8344712099805402E-5</v>
      </c>
      <c r="K17" s="9">
        <v>1.5579807640734E-58</v>
      </c>
    </row>
    <row r="18" spans="1:11">
      <c r="A18" s="1" t="s">
        <v>184</v>
      </c>
      <c r="B18" s="1" t="s">
        <v>185</v>
      </c>
      <c r="D18" s="8" t="s">
        <v>185</v>
      </c>
      <c r="E18" s="5">
        <v>2.1233255162612199</v>
      </c>
      <c r="F18" s="5">
        <v>0.74457542089775197</v>
      </c>
      <c r="G18" s="5">
        <v>3.7265295627129098</v>
      </c>
      <c r="H18" s="5">
        <f t="shared" si="0"/>
        <v>2.1981434999572937</v>
      </c>
      <c r="I18" s="6">
        <v>3.00379683113823E-23</v>
      </c>
      <c r="J18" s="6">
        <v>3.5536080937928699E-4</v>
      </c>
      <c r="K18" s="9">
        <v>1.54947065733356E-55</v>
      </c>
    </row>
    <row r="19" spans="1:11">
      <c r="A19" s="1" t="s">
        <v>668</v>
      </c>
      <c r="B19" s="1" t="s">
        <v>669</v>
      </c>
      <c r="D19" s="8" t="s">
        <v>669</v>
      </c>
      <c r="E19" s="5">
        <v>1.8651182646346001</v>
      </c>
      <c r="F19" s="5">
        <v>2.0158435074543601</v>
      </c>
      <c r="G19" s="5">
        <v>2.5663203285638199</v>
      </c>
      <c r="H19" s="5">
        <f t="shared" si="0"/>
        <v>2.1490940335509268</v>
      </c>
      <c r="I19" s="6">
        <v>1.5559705235563299E-18</v>
      </c>
      <c r="J19" s="6">
        <v>5.2765876438406201E-21</v>
      </c>
      <c r="K19" s="9">
        <v>4.5599288483304002E-32</v>
      </c>
    </row>
    <row r="20" spans="1:11">
      <c r="A20" s="1" t="s">
        <v>687</v>
      </c>
      <c r="B20" s="1" t="s">
        <v>688</v>
      </c>
      <c r="D20" s="8" t="s">
        <v>688</v>
      </c>
      <c r="E20" s="5">
        <v>1.5175755698803599</v>
      </c>
      <c r="F20" s="5">
        <v>1.1710677922103601</v>
      </c>
      <c r="G20" s="5">
        <v>3.5163076887384301</v>
      </c>
      <c r="H20" s="5">
        <f t="shared" si="0"/>
        <v>2.06831701694305</v>
      </c>
      <c r="I20" s="6">
        <v>3.7135977769353102E-13</v>
      </c>
      <c r="J20" s="6">
        <v>1.55566399841537E-8</v>
      </c>
      <c r="K20" s="9">
        <v>8.7354548590284204E-55</v>
      </c>
    </row>
    <row r="21" spans="1:11">
      <c r="A21" s="1" t="s">
        <v>186</v>
      </c>
      <c r="B21" s="1" t="s">
        <v>187</v>
      </c>
      <c r="D21" s="8" t="s">
        <v>187</v>
      </c>
      <c r="E21" s="5">
        <v>1.9145447848683801</v>
      </c>
      <c r="F21" s="5">
        <v>0.84962363449498501</v>
      </c>
      <c r="G21" s="5">
        <v>3.3728042533296501</v>
      </c>
      <c r="H21" s="5">
        <f t="shared" si="0"/>
        <v>2.0456575575643385</v>
      </c>
      <c r="I21" s="6">
        <v>1.5962934473580099E-19</v>
      </c>
      <c r="J21" s="6">
        <v>4.5838630988749102E-5</v>
      </c>
      <c r="K21" s="9">
        <v>8.0474112651669095E-48</v>
      </c>
    </row>
    <row r="22" spans="1:11">
      <c r="A22" s="1" t="s">
        <v>616</v>
      </c>
      <c r="B22" s="1" t="s">
        <v>617</v>
      </c>
      <c r="D22" s="8" t="s">
        <v>617</v>
      </c>
      <c r="E22" s="5">
        <v>0.85391454379218901</v>
      </c>
      <c r="F22" s="5">
        <v>2.5326069360429901</v>
      </c>
      <c r="G22" s="5">
        <v>2.7093384968711698</v>
      </c>
      <c r="H22" s="5">
        <f t="shared" si="0"/>
        <v>2.0319533255687827</v>
      </c>
      <c r="I22" s="6">
        <v>3.3853945457979501E-5</v>
      </c>
      <c r="J22" s="6">
        <v>1.90968768331827E-31</v>
      </c>
      <c r="K22" s="9">
        <v>1.9063339762625699E-35</v>
      </c>
    </row>
    <row r="23" spans="1:11">
      <c r="A23" s="1" t="s">
        <v>486</v>
      </c>
      <c r="B23" s="1" t="s">
        <v>487</v>
      </c>
      <c r="D23" s="8" t="s">
        <v>487</v>
      </c>
      <c r="E23" s="5">
        <v>1.30019113123928</v>
      </c>
      <c r="F23" s="5">
        <v>1.1840341212550201</v>
      </c>
      <c r="G23" s="5">
        <v>3.31506678216964</v>
      </c>
      <c r="H23" s="5">
        <f t="shared" si="0"/>
        <v>1.9330973448879802</v>
      </c>
      <c r="I23" s="6">
        <v>1.4041701019882601E-9</v>
      </c>
      <c r="J23" s="6">
        <v>7.5600192762210205E-8</v>
      </c>
      <c r="K23" s="9">
        <v>7.0837108384270998E-45</v>
      </c>
    </row>
    <row r="24" spans="1:11">
      <c r="A24" s="1" t="s">
        <v>172</v>
      </c>
      <c r="B24" s="1" t="s">
        <v>173</v>
      </c>
      <c r="D24" s="8" t="s">
        <v>173</v>
      </c>
      <c r="E24" s="5">
        <v>3.3443218605023799</v>
      </c>
      <c r="F24" s="5">
        <v>1.8923406694032701</v>
      </c>
      <c r="G24" s="5" t="e">
        <f>LOG(#REF!/#REF!,2)</f>
        <v>#REF!</v>
      </c>
      <c r="H24" s="5">
        <f>AVERAGE(E24:F24)</f>
        <v>2.618331264952825</v>
      </c>
      <c r="I24" s="6">
        <v>4.9647875453887098E-48</v>
      </c>
      <c r="J24" s="6">
        <v>2.6264701450220099E-14</v>
      </c>
      <c r="K24" s="9">
        <v>1.76288115364924E-20</v>
      </c>
    </row>
    <row r="25" spans="1:11">
      <c r="A25" s="1" t="s">
        <v>44</v>
      </c>
      <c r="B25" s="1" t="s">
        <v>45</v>
      </c>
      <c r="D25" s="8" t="s">
        <v>45</v>
      </c>
      <c r="E25" s="5">
        <v>1.3101582988943901</v>
      </c>
      <c r="F25" s="5">
        <v>1.61812434273483</v>
      </c>
      <c r="G25" s="5">
        <v>2.79223184254732</v>
      </c>
      <c r="H25" s="5">
        <f t="shared" si="0"/>
        <v>1.9068381613921801</v>
      </c>
      <c r="I25" s="6">
        <v>6.0709605069986902E-10</v>
      </c>
      <c r="J25" s="6">
        <v>8.6295629849042706E-14</v>
      </c>
      <c r="K25" s="9">
        <v>1.0150163333073099E-28</v>
      </c>
    </row>
    <row r="26" spans="1:11">
      <c r="A26" s="1" t="s">
        <v>574</v>
      </c>
      <c r="B26" s="1" t="s">
        <v>575</v>
      </c>
      <c r="D26" s="8" t="s">
        <v>575</v>
      </c>
      <c r="E26" s="5">
        <v>1.70684024351812</v>
      </c>
      <c r="F26" s="5">
        <v>1.6091329196423101</v>
      </c>
      <c r="G26" s="5">
        <v>2.29365693732335</v>
      </c>
      <c r="H26" s="5">
        <f t="shared" si="0"/>
        <v>1.8698767001612602</v>
      </c>
      <c r="I26" s="6">
        <v>3.1437178134531701E-14</v>
      </c>
      <c r="J26" s="6">
        <v>7.5323064300639704E-12</v>
      </c>
      <c r="K26" s="9">
        <v>1.4973953330203E-21</v>
      </c>
    </row>
    <row r="27" spans="1:11">
      <c r="A27" s="1" t="s">
        <v>380</v>
      </c>
      <c r="B27" s="1" t="s">
        <v>381</v>
      </c>
      <c r="D27" s="8" t="s">
        <v>381</v>
      </c>
      <c r="E27" s="5">
        <v>1.2494187754074999</v>
      </c>
      <c r="F27" s="5">
        <v>1.92801446414509</v>
      </c>
      <c r="G27" s="5">
        <v>2.4260554297366501</v>
      </c>
      <c r="H27" s="5">
        <f t="shared" si="0"/>
        <v>1.8678295564297465</v>
      </c>
      <c r="I27" s="6">
        <v>8.6996148595686403E-8</v>
      </c>
      <c r="J27" s="6">
        <v>3.72917397207775E-13</v>
      </c>
      <c r="K27" s="9">
        <v>3.0232840290529899E-14</v>
      </c>
    </row>
    <row r="28" spans="1:11">
      <c r="A28" s="1" t="s">
        <v>256</v>
      </c>
      <c r="B28" s="1" t="s">
        <v>257</v>
      </c>
      <c r="D28" s="8" t="s">
        <v>257</v>
      </c>
      <c r="E28" s="5">
        <v>1.74851556243554</v>
      </c>
      <c r="F28" s="5">
        <v>1.7042530535597</v>
      </c>
      <c r="G28" s="5">
        <v>2.0573315935893701</v>
      </c>
      <c r="H28" s="5">
        <f t="shared" si="0"/>
        <v>1.8367000698615368</v>
      </c>
      <c r="I28" s="6">
        <v>2.6922810722334898E-16</v>
      </c>
      <c r="J28" s="6">
        <v>6.71583044435872E-15</v>
      </c>
      <c r="K28" s="9">
        <v>5.1167395297192503E-21</v>
      </c>
    </row>
    <row r="29" spans="1:11">
      <c r="A29" s="1" t="s">
        <v>534</v>
      </c>
      <c r="B29" s="1" t="s">
        <v>535</v>
      </c>
      <c r="D29" s="8" t="s">
        <v>535</v>
      </c>
      <c r="E29" s="5">
        <v>1.13005029145017</v>
      </c>
      <c r="F29" s="5">
        <v>1.08712110024651</v>
      </c>
      <c r="G29" s="5">
        <v>3.1275003887895201</v>
      </c>
      <c r="H29" s="5">
        <f t="shared" si="0"/>
        <v>1.7815572601620666</v>
      </c>
      <c r="I29" s="6">
        <v>6.0001421078743003E-8</v>
      </c>
      <c r="J29" s="6">
        <v>1.9865318270815599E-7</v>
      </c>
      <c r="K29" s="9">
        <v>1.26328479669709E-44</v>
      </c>
    </row>
    <row r="30" spans="1:11">
      <c r="A30" s="1" t="s">
        <v>220</v>
      </c>
      <c r="B30" s="1" t="s">
        <v>221</v>
      </c>
      <c r="D30" s="8" t="s">
        <v>221</v>
      </c>
      <c r="E30" s="5">
        <v>1.8071027827725299</v>
      </c>
      <c r="F30" s="5">
        <v>1.25826617542768</v>
      </c>
      <c r="G30" s="5">
        <v>2.27487162338107</v>
      </c>
      <c r="H30" s="5">
        <f t="shared" si="0"/>
        <v>1.7800801938604269</v>
      </c>
      <c r="I30" s="6">
        <v>3.0623148824242902E-16</v>
      </c>
      <c r="J30" s="6">
        <v>1.1084768240735E-7</v>
      </c>
      <c r="K30" s="9">
        <v>2.3063026520001999E-4</v>
      </c>
    </row>
    <row r="31" spans="1:11">
      <c r="A31" s="1" t="s">
        <v>624</v>
      </c>
      <c r="B31" s="1" t="s">
        <v>625</v>
      </c>
      <c r="D31" s="8" t="s">
        <v>625</v>
      </c>
      <c r="E31" s="5">
        <v>0.93904203667901798</v>
      </c>
      <c r="F31" s="5">
        <v>1.7976421252497801</v>
      </c>
      <c r="G31" s="5">
        <v>2.59307376563696</v>
      </c>
      <c r="H31" s="5">
        <f t="shared" si="0"/>
        <v>1.7765859758552527</v>
      </c>
      <c r="I31" s="6">
        <v>1.50044696120045E-5</v>
      </c>
      <c r="J31" s="6">
        <v>8.0295801879866197E-16</v>
      </c>
      <c r="K31" s="9">
        <v>3.9634017245073796E-31</v>
      </c>
    </row>
    <row r="32" spans="1:11">
      <c r="A32" s="1" t="s">
        <v>26</v>
      </c>
      <c r="B32" s="1" t="s">
        <v>27</v>
      </c>
      <c r="D32" s="8" t="s">
        <v>27</v>
      </c>
      <c r="E32" s="5">
        <v>1.2989878997234101</v>
      </c>
      <c r="F32" s="5">
        <v>1.26913120254735</v>
      </c>
      <c r="G32" s="5">
        <v>2.6007230083630799</v>
      </c>
      <c r="H32" s="5">
        <f t="shared" si="0"/>
        <v>1.7229473702112799</v>
      </c>
      <c r="I32" s="6">
        <v>5.7881369455880203E-10</v>
      </c>
      <c r="J32" s="6">
        <v>1.9794892629345901E-9</v>
      </c>
      <c r="K32" s="9">
        <v>1.10657303722524E-32</v>
      </c>
    </row>
    <row r="33" spans="1:11">
      <c r="A33" s="1" t="s">
        <v>164</v>
      </c>
      <c r="B33" s="1" t="s">
        <v>165</v>
      </c>
      <c r="D33" s="8" t="s">
        <v>165</v>
      </c>
      <c r="E33" s="5">
        <v>0.86094564554686104</v>
      </c>
      <c r="F33" s="5">
        <v>1.29016570328111</v>
      </c>
      <c r="G33" s="5">
        <v>3.0100937650153599</v>
      </c>
      <c r="H33" s="5">
        <f t="shared" si="0"/>
        <v>1.7204017046144437</v>
      </c>
      <c r="I33" s="6">
        <v>3.1535383406344598E-5</v>
      </c>
      <c r="J33" s="6">
        <v>7.4427394657749397E-10</v>
      </c>
      <c r="K33" s="9">
        <v>1.9560775717638599E-39</v>
      </c>
    </row>
    <row r="34" spans="1:11">
      <c r="A34" s="1" t="s">
        <v>254</v>
      </c>
      <c r="B34" s="1" t="s">
        <v>255</v>
      </c>
      <c r="D34" s="8" t="s">
        <v>255</v>
      </c>
      <c r="E34" s="5">
        <v>1.2822342167175</v>
      </c>
      <c r="F34" s="5">
        <v>1.2878711018921001</v>
      </c>
      <c r="G34" s="5">
        <v>2.5353314209934701</v>
      </c>
      <c r="H34" s="5">
        <f t="shared" si="0"/>
        <v>1.7018122465343566</v>
      </c>
      <c r="I34" s="6">
        <v>6.8420740104967499E-10</v>
      </c>
      <c r="J34" s="6">
        <v>6.0761036035028998E-10</v>
      </c>
      <c r="K34" s="9">
        <v>1.1710151026959701E-31</v>
      </c>
    </row>
    <row r="35" spans="1:11">
      <c r="A35" s="1" t="s">
        <v>684</v>
      </c>
      <c r="B35" s="1" t="s">
        <v>685</v>
      </c>
      <c r="D35" s="8" t="s">
        <v>685</v>
      </c>
      <c r="E35" s="5">
        <v>0.88941795236104204</v>
      </c>
      <c r="F35" s="5">
        <v>1.4932132272774301</v>
      </c>
      <c r="G35" s="5">
        <v>2.6452533775487099</v>
      </c>
      <c r="H35" s="5">
        <f t="shared" si="0"/>
        <v>1.675961519062394</v>
      </c>
      <c r="I35" s="6">
        <v>3.5784015282341902E-5</v>
      </c>
      <c r="J35" s="6">
        <v>9.1443822409062202E-12</v>
      </c>
      <c r="K35" s="9">
        <v>3.3892884223520001E-31</v>
      </c>
    </row>
    <row r="36" spans="1:11">
      <c r="A36" s="1" t="s">
        <v>232</v>
      </c>
      <c r="B36" s="1" t="s">
        <v>233</v>
      </c>
      <c r="D36" s="8" t="s">
        <v>233</v>
      </c>
      <c r="E36" s="5">
        <v>1.24201015633321</v>
      </c>
      <c r="F36" s="5">
        <v>1.77589254871409</v>
      </c>
      <c r="G36" s="5">
        <v>2.0085694036778698</v>
      </c>
      <c r="H36" s="5">
        <f t="shared" si="0"/>
        <v>1.6754907029083899</v>
      </c>
      <c r="I36" s="6">
        <v>4.4202685554474703E-9</v>
      </c>
      <c r="J36" s="6">
        <v>1.1851011541008501E-15</v>
      </c>
      <c r="K36" s="9">
        <v>1.82718634699913E-19</v>
      </c>
    </row>
    <row r="37" spans="1:11">
      <c r="A37" s="1" t="s">
        <v>420</v>
      </c>
      <c r="B37" s="1" t="s">
        <v>421</v>
      </c>
      <c r="D37" s="8" t="s">
        <v>421</v>
      </c>
      <c r="E37" s="5">
        <v>1.05124607702394</v>
      </c>
      <c r="F37" s="5">
        <v>1.0092716726728099</v>
      </c>
      <c r="G37" s="5">
        <v>2.89362215351637</v>
      </c>
      <c r="H37" s="5">
        <f t="shared" si="0"/>
        <v>1.6513799677377066</v>
      </c>
      <c r="I37" s="6">
        <v>2.2522575874923599E-6</v>
      </c>
      <c r="J37" s="6">
        <v>8.4411807108395107E-6</v>
      </c>
      <c r="K37" s="9">
        <v>3.5898623279146901E-34</v>
      </c>
    </row>
    <row r="38" spans="1:11">
      <c r="A38" s="1" t="s">
        <v>210</v>
      </c>
      <c r="B38" s="1" t="s">
        <v>211</v>
      </c>
      <c r="D38" s="8" t="s">
        <v>211</v>
      </c>
      <c r="E38" s="5">
        <v>1.14567065367905</v>
      </c>
      <c r="F38" s="5">
        <v>1.1351580093213001</v>
      </c>
      <c r="G38" s="5">
        <v>2.6298986928191401</v>
      </c>
      <c r="H38" s="5">
        <f t="shared" si="0"/>
        <v>1.636909118606497</v>
      </c>
      <c r="I38" s="6">
        <v>4.3689167625110698E-8</v>
      </c>
      <c r="J38" s="6">
        <v>6.7321519683342203E-8</v>
      </c>
      <c r="K38" s="9">
        <v>6.3564958382228605E-32</v>
      </c>
    </row>
    <row r="39" spans="1:11">
      <c r="A39" s="1" t="s">
        <v>106</v>
      </c>
      <c r="B39" s="1" t="s">
        <v>107</v>
      </c>
      <c r="D39" s="8" t="s">
        <v>107</v>
      </c>
      <c r="E39" s="5">
        <v>0.97778884307423697</v>
      </c>
      <c r="F39" s="5">
        <v>1.66397960154959</v>
      </c>
      <c r="G39" s="5">
        <v>2.2316075079062698</v>
      </c>
      <c r="H39" s="5">
        <f t="shared" si="0"/>
        <v>1.6244586508433656</v>
      </c>
      <c r="I39" s="6">
        <v>3.1643669018533699E-6</v>
      </c>
      <c r="J39" s="6">
        <v>1.98332294215125E-14</v>
      </c>
      <c r="K39" s="9">
        <v>4.0779581049957699E-25</v>
      </c>
    </row>
    <row r="40" spans="1:11">
      <c r="A40" s="1" t="s">
        <v>294</v>
      </c>
      <c r="B40" s="1" t="s">
        <v>295</v>
      </c>
      <c r="D40" s="8" t="s">
        <v>295</v>
      </c>
      <c r="E40" s="5">
        <v>1.71905498291383</v>
      </c>
      <c r="F40" s="5">
        <v>2.1861690086088998</v>
      </c>
      <c r="G40" s="5">
        <v>0.92197857429982799</v>
      </c>
      <c r="H40" s="5">
        <f t="shared" si="0"/>
        <v>1.6090675219408528</v>
      </c>
      <c r="I40" s="6">
        <v>2.14121966812035E-13</v>
      </c>
      <c r="J40" s="6">
        <v>6.5996174041253002E-15</v>
      </c>
      <c r="K40" s="9">
        <v>1.7933749055901801E-5</v>
      </c>
    </row>
    <row r="41" spans="1:11">
      <c r="A41" s="1" t="s">
        <v>36</v>
      </c>
      <c r="B41" s="1" t="s">
        <v>37</v>
      </c>
      <c r="D41" s="8" t="s">
        <v>37</v>
      </c>
      <c r="E41" s="5">
        <v>0.91372243273758302</v>
      </c>
      <c r="F41" s="5">
        <v>1.18381594809017</v>
      </c>
      <c r="G41" s="5">
        <v>2.71957778238859</v>
      </c>
      <c r="H41" s="5">
        <f t="shared" si="0"/>
        <v>1.605705387738781</v>
      </c>
      <c r="I41" s="6">
        <v>1.5535567092482802E-5</v>
      </c>
      <c r="J41" s="6">
        <v>1.17912465637501E-7</v>
      </c>
      <c r="K41" s="9">
        <v>9.4780813886738706E-25</v>
      </c>
    </row>
    <row r="42" spans="1:11">
      <c r="A42" s="1" t="s">
        <v>566</v>
      </c>
      <c r="B42" s="1" t="s">
        <v>567</v>
      </c>
      <c r="D42" s="8" t="s">
        <v>567</v>
      </c>
      <c r="E42" s="5">
        <v>1.22926684444344</v>
      </c>
      <c r="F42" s="5">
        <v>1.62504287601163</v>
      </c>
      <c r="G42" s="5">
        <v>1.95680021633417</v>
      </c>
      <c r="H42" s="5">
        <f t="shared" si="0"/>
        <v>1.6037033122630799</v>
      </c>
      <c r="I42" s="6">
        <v>4.2021622636118399E-9</v>
      </c>
      <c r="J42" s="6">
        <v>2.2504075230857399E-14</v>
      </c>
      <c r="K42" s="9">
        <v>6.6166403527328896E-20</v>
      </c>
    </row>
    <row r="43" spans="1:11">
      <c r="A43" s="1" t="s">
        <v>250</v>
      </c>
      <c r="B43" s="1" t="s">
        <v>251</v>
      </c>
      <c r="D43" s="8" t="s">
        <v>251</v>
      </c>
      <c r="E43" s="5">
        <v>1.0370824751882199</v>
      </c>
      <c r="F43" s="5">
        <v>1.19396109808578</v>
      </c>
      <c r="G43" s="5">
        <v>2.5661477629666498</v>
      </c>
      <c r="H43" s="5">
        <f t="shared" si="0"/>
        <v>1.5990637787468831</v>
      </c>
      <c r="I43" s="6">
        <v>7.1419305338999904E-7</v>
      </c>
      <c r="J43" s="6">
        <v>2.4470229350809899E-8</v>
      </c>
      <c r="K43" s="9">
        <v>4.5821898870706899E-32</v>
      </c>
    </row>
    <row r="44" spans="1:11">
      <c r="A44" s="1" t="s">
        <v>368</v>
      </c>
      <c r="B44" s="1" t="s">
        <v>369</v>
      </c>
      <c r="D44" s="8" t="s">
        <v>369</v>
      </c>
      <c r="E44" s="5">
        <v>0.87421690054233803</v>
      </c>
      <c r="F44" s="5">
        <v>1.2834894313485199</v>
      </c>
      <c r="G44" s="5">
        <v>2.6256608660608398</v>
      </c>
      <c r="H44" s="5">
        <f t="shared" si="0"/>
        <v>1.5944557326505659</v>
      </c>
      <c r="I44" s="6">
        <v>2.73841371316393E-5</v>
      </c>
      <c r="J44" s="6">
        <v>1.99771202791647E-9</v>
      </c>
      <c r="K44" s="9">
        <v>2.3966320817209199E-32</v>
      </c>
    </row>
    <row r="45" spans="1:11">
      <c r="A45" s="1" t="s">
        <v>426</v>
      </c>
      <c r="B45" s="1" t="s">
        <v>427</v>
      </c>
      <c r="D45" s="8" t="s">
        <v>427</v>
      </c>
      <c r="E45" s="5">
        <v>1.15384391293083</v>
      </c>
      <c r="F45" s="5">
        <v>1.2836684033749499</v>
      </c>
      <c r="G45" s="5">
        <v>2.3081075658666799</v>
      </c>
      <c r="H45" s="5">
        <f t="shared" si="0"/>
        <v>1.5818732940574864</v>
      </c>
      <c r="I45" s="6">
        <v>4.8725411545718099E-8</v>
      </c>
      <c r="J45" s="6">
        <v>2.0107874764625702E-9</v>
      </c>
      <c r="K45" s="9">
        <v>2.63245234493688E-25</v>
      </c>
    </row>
    <row r="46" spans="1:11">
      <c r="A46" s="1" t="s">
        <v>374</v>
      </c>
      <c r="B46" s="1" t="s">
        <v>375</v>
      </c>
      <c r="D46" s="8" t="s">
        <v>375</v>
      </c>
      <c r="E46" s="5">
        <v>0.84355738229518396</v>
      </c>
      <c r="F46" s="5">
        <v>1.35526164911392</v>
      </c>
      <c r="G46" s="5">
        <v>2.5433774301927801</v>
      </c>
      <c r="H46" s="5">
        <f t="shared" si="0"/>
        <v>1.5807321538672945</v>
      </c>
      <c r="I46" s="6">
        <v>5.1697898055701103E-5</v>
      </c>
      <c r="J46" s="6">
        <v>1.5142019127376501E-10</v>
      </c>
      <c r="K46" s="9">
        <v>2.25103653727527E-31</v>
      </c>
    </row>
    <row r="47" spans="1:11">
      <c r="A47" s="1" t="s">
        <v>212</v>
      </c>
      <c r="B47" s="1" t="s">
        <v>213</v>
      </c>
      <c r="D47" s="8" t="s">
        <v>213</v>
      </c>
      <c r="E47" s="5">
        <v>1.6401949201702299</v>
      </c>
      <c r="F47" s="5">
        <v>0.48909673250068197</v>
      </c>
      <c r="G47" s="5">
        <v>2.57437296963684</v>
      </c>
      <c r="H47" s="5">
        <f t="shared" si="0"/>
        <v>1.5678882074359173</v>
      </c>
      <c r="I47" s="6">
        <v>6.1487681816863498E-15</v>
      </c>
      <c r="J47" s="6">
        <v>1.8461192183967998E-2</v>
      </c>
      <c r="K47" s="9">
        <v>3.4664747733730801E-32</v>
      </c>
    </row>
    <row r="48" spans="1:11">
      <c r="A48" s="1" t="s">
        <v>246</v>
      </c>
      <c r="B48" s="1" t="s">
        <v>247</v>
      </c>
      <c r="D48" s="8" t="s">
        <v>247</v>
      </c>
      <c r="E48" s="5">
        <v>1.4064936796576599</v>
      </c>
      <c r="F48" s="5">
        <v>0.52966356129837999</v>
      </c>
      <c r="G48" s="5">
        <v>2.7102380407990299</v>
      </c>
      <c r="H48" s="5">
        <f t="shared" si="0"/>
        <v>1.5487984272516899</v>
      </c>
      <c r="I48" s="6">
        <v>1.81251181825629E-8</v>
      </c>
      <c r="J48" s="6">
        <v>2.8032753314326499E-2</v>
      </c>
      <c r="K48" s="9">
        <v>5.4531091282097495E-20</v>
      </c>
    </row>
    <row r="49" spans="1:11">
      <c r="A49" s="1" t="s">
        <v>126</v>
      </c>
      <c r="B49" s="1" t="s">
        <v>127</v>
      </c>
      <c r="D49" s="8" t="s">
        <v>127</v>
      </c>
      <c r="E49" s="5">
        <v>0.87253100178572696</v>
      </c>
      <c r="F49" s="5">
        <v>1.84931945128298</v>
      </c>
      <c r="G49" s="5">
        <v>1.9039948441002399</v>
      </c>
      <c r="H49" s="5">
        <f t="shared" si="0"/>
        <v>1.5419484323896491</v>
      </c>
      <c r="I49" s="6">
        <v>1.62243967794242E-4</v>
      </c>
      <c r="J49" s="6">
        <v>1.89332135407669E-12</v>
      </c>
      <c r="K49" s="9">
        <v>2.6189225980794298E-16</v>
      </c>
    </row>
    <row r="50" spans="1:11">
      <c r="A50" s="1" t="s">
        <v>674</v>
      </c>
      <c r="B50" s="1" t="s">
        <v>675</v>
      </c>
      <c r="D50" s="8" t="s">
        <v>675</v>
      </c>
      <c r="E50" s="5">
        <v>1.4956862586158901</v>
      </c>
      <c r="F50" s="5">
        <v>1.26601234950054</v>
      </c>
      <c r="G50" s="5">
        <v>1.8537330203642</v>
      </c>
      <c r="H50" s="5">
        <f t="shared" si="0"/>
        <v>1.5384772094935435</v>
      </c>
      <c r="I50" s="6">
        <v>3.8833974706981603E-12</v>
      </c>
      <c r="J50" s="6">
        <v>1.24385937614623E-8</v>
      </c>
      <c r="K50" s="9">
        <v>2.0625370239462401E-17</v>
      </c>
    </row>
    <row r="51" spans="1:11">
      <c r="A51" s="1" t="s">
        <v>208</v>
      </c>
      <c r="B51" s="1" t="s">
        <v>209</v>
      </c>
      <c r="D51" s="8" t="s">
        <v>209</v>
      </c>
      <c r="E51" s="5">
        <v>1.6299990673175599</v>
      </c>
      <c r="F51" s="5">
        <v>0.99049341064228802</v>
      </c>
      <c r="G51" s="5">
        <v>1.9358521827816599</v>
      </c>
      <c r="H51" s="5">
        <f t="shared" si="0"/>
        <v>1.5187815535805027</v>
      </c>
      <c r="I51" s="6">
        <v>4.8791771698339495E-13</v>
      </c>
      <c r="J51" s="6">
        <v>5.5751986387199601E-6</v>
      </c>
      <c r="K51" s="9">
        <v>3.9428528791749801E-15</v>
      </c>
    </row>
    <row r="52" spans="1:11">
      <c r="A52" s="1" t="s">
        <v>680</v>
      </c>
      <c r="B52" s="1" t="s">
        <v>681</v>
      </c>
      <c r="D52" s="8" t="s">
        <v>681</v>
      </c>
      <c r="E52" s="5">
        <v>1.5297342981417099</v>
      </c>
      <c r="F52" s="5">
        <v>1.8053540273939199</v>
      </c>
      <c r="G52" s="5">
        <v>1.1926891900524299</v>
      </c>
      <c r="H52" s="5">
        <f t="shared" si="0"/>
        <v>1.5092591718626867</v>
      </c>
      <c r="I52" s="6">
        <v>3.23031624742791E-6</v>
      </c>
      <c r="J52" s="6">
        <v>4.2753034766161901E-10</v>
      </c>
      <c r="K52" s="9">
        <v>2.5426879215785698E-4</v>
      </c>
    </row>
    <row r="53" spans="1:11">
      <c r="A53" s="1" t="s">
        <v>178</v>
      </c>
      <c r="B53" s="1" t="s">
        <v>179</v>
      </c>
      <c r="D53" s="8" t="s">
        <v>179</v>
      </c>
      <c r="E53" s="5">
        <v>0.75542223873961101</v>
      </c>
      <c r="F53" s="5">
        <v>1.15557215216857</v>
      </c>
      <c r="G53" s="5">
        <v>2.5511617263720598</v>
      </c>
      <c r="H53" s="5">
        <f t="shared" si="0"/>
        <v>1.487385372426747</v>
      </c>
      <c r="I53" s="6">
        <v>2.8004518992983101E-4</v>
      </c>
      <c r="J53" s="6">
        <v>4.4571613243538598E-8</v>
      </c>
      <c r="K53" s="9">
        <v>9.0956715283376098E-32</v>
      </c>
    </row>
    <row r="54" spans="1:11">
      <c r="A54" s="1" t="s">
        <v>462</v>
      </c>
      <c r="B54" s="1" t="s">
        <v>463</v>
      </c>
      <c r="D54" s="8" t="s">
        <v>463</v>
      </c>
      <c r="E54" s="5">
        <v>0.91198916397740204</v>
      </c>
      <c r="F54" s="5">
        <v>0.91327256355563602</v>
      </c>
      <c r="G54" s="5">
        <v>2.5697961126223001</v>
      </c>
      <c r="H54" s="5">
        <f t="shared" si="0"/>
        <v>1.4650192800517796</v>
      </c>
      <c r="I54" s="6">
        <v>1.1389204268823201E-5</v>
      </c>
      <c r="J54" s="6">
        <v>1.41496354840737E-5</v>
      </c>
      <c r="K54" s="9">
        <v>1.12679993372824E-31</v>
      </c>
    </row>
    <row r="55" spans="1:11">
      <c r="A55" s="1" t="s">
        <v>24</v>
      </c>
      <c r="B55" s="1" t="s">
        <v>25</v>
      </c>
      <c r="D55" s="8" t="s">
        <v>25</v>
      </c>
      <c r="E55" s="5">
        <v>1.3451237502998801</v>
      </c>
      <c r="F55" s="5">
        <v>1.05729487174763</v>
      </c>
      <c r="G55" s="5">
        <v>1.9682131567175301</v>
      </c>
      <c r="H55" s="5">
        <f t="shared" si="0"/>
        <v>1.4568772595883468</v>
      </c>
      <c r="I55" s="6">
        <v>1.05574126898819E-10</v>
      </c>
      <c r="J55" s="6">
        <v>3.4998889228391801E-7</v>
      </c>
      <c r="K55" s="9">
        <v>1.79998413367942E-20</v>
      </c>
    </row>
    <row r="56" spans="1:11">
      <c r="A56" s="1" t="s">
        <v>224</v>
      </c>
      <c r="B56" s="1" t="s">
        <v>225</v>
      </c>
      <c r="D56" s="8" t="s">
        <v>225</v>
      </c>
      <c r="E56" s="5">
        <v>1.13913782939286</v>
      </c>
      <c r="F56" s="5">
        <v>1.49910390568304</v>
      </c>
      <c r="G56" s="5">
        <v>1.6905942564791601</v>
      </c>
      <c r="H56" s="5">
        <f t="shared" si="0"/>
        <v>1.4429453305183533</v>
      </c>
      <c r="I56" s="6">
        <v>1.0735994373077899E-7</v>
      </c>
      <c r="J56" s="6">
        <v>1.92533028513129E-11</v>
      </c>
      <c r="K56" s="9">
        <v>6.3447815253774497E-15</v>
      </c>
    </row>
    <row r="57" spans="1:11">
      <c r="A57" s="1" t="s">
        <v>546</v>
      </c>
      <c r="B57" s="1" t="s">
        <v>547</v>
      </c>
      <c r="D57" s="8" t="s">
        <v>547</v>
      </c>
      <c r="E57" s="5">
        <v>1.0038413801413</v>
      </c>
      <c r="F57" s="5">
        <v>1.41224112484859</v>
      </c>
      <c r="G57" s="5">
        <v>1.8972764239714699</v>
      </c>
      <c r="H57" s="5">
        <f t="shared" si="0"/>
        <v>1.4377863096537868</v>
      </c>
      <c r="I57" s="6">
        <v>1.2755923160281799E-6</v>
      </c>
      <c r="J57" s="6">
        <v>1.9397338947413098E-11</v>
      </c>
      <c r="K57" s="9">
        <v>3.6821563677383098E-19</v>
      </c>
    </row>
    <row r="58" spans="1:11">
      <c r="A58" s="1" t="s">
        <v>654</v>
      </c>
      <c r="B58" s="1" t="s">
        <v>655</v>
      </c>
      <c r="D58" s="8" t="s">
        <v>655</v>
      </c>
      <c r="E58" s="5">
        <v>1.12357281115765</v>
      </c>
      <c r="F58" s="5">
        <v>1.5622115678100501</v>
      </c>
      <c r="G58" s="5">
        <v>1.6094051847052799</v>
      </c>
      <c r="H58" s="5">
        <f t="shared" si="0"/>
        <v>1.43172985455766</v>
      </c>
      <c r="I58" s="6">
        <v>1.7156522596218599E-4</v>
      </c>
      <c r="J58" s="6">
        <v>8.4529542932258698E-5</v>
      </c>
      <c r="K58" s="9">
        <v>4.4705270739775E-8</v>
      </c>
    </row>
    <row r="59" spans="1:11">
      <c r="A59" s="1" t="s">
        <v>552</v>
      </c>
      <c r="B59" s="1" t="s">
        <v>553</v>
      </c>
      <c r="D59" s="8" t="s">
        <v>553</v>
      </c>
      <c r="E59" s="5">
        <v>0.84334317027508399</v>
      </c>
      <c r="F59" s="5">
        <v>1.8960466543752901</v>
      </c>
      <c r="G59" s="5">
        <v>1.54145957530393</v>
      </c>
      <c r="H59" s="5">
        <f t="shared" si="0"/>
        <v>1.426949799984768</v>
      </c>
      <c r="I59" s="6">
        <v>1.3081858096599899E-4</v>
      </c>
      <c r="J59" s="6">
        <v>1.4826334486562599E-14</v>
      </c>
      <c r="K59" s="9">
        <v>4.5957793418886803E-12</v>
      </c>
    </row>
    <row r="60" spans="1:11">
      <c r="A60" s="1" t="s">
        <v>682</v>
      </c>
      <c r="B60" s="1" t="s">
        <v>683</v>
      </c>
      <c r="D60" s="8" t="s">
        <v>683</v>
      </c>
      <c r="E60" s="5">
        <v>0.87908612928806296</v>
      </c>
      <c r="F60" s="5">
        <v>1.3979653828554199</v>
      </c>
      <c r="G60" s="5">
        <v>1.97081841303552</v>
      </c>
      <c r="H60" s="5">
        <f t="shared" si="0"/>
        <v>1.4159566417263345</v>
      </c>
      <c r="I60" s="6">
        <v>3.8665888786996003E-5</v>
      </c>
      <c r="J60" s="6">
        <v>4.71601054469087E-10</v>
      </c>
      <c r="K60" s="9">
        <v>3.7037611743715302E-19</v>
      </c>
    </row>
    <row r="61" spans="1:11">
      <c r="A61" s="1" t="s">
        <v>536</v>
      </c>
      <c r="B61" s="1" t="s">
        <v>537</v>
      </c>
      <c r="D61" s="8" t="s">
        <v>537</v>
      </c>
      <c r="E61" s="5">
        <v>1.03664062672242</v>
      </c>
      <c r="F61" s="5">
        <v>1.54649498864871</v>
      </c>
      <c r="G61" s="5">
        <v>1.6647341101142701</v>
      </c>
      <c r="H61" s="5">
        <f t="shared" si="0"/>
        <v>1.4159565751618002</v>
      </c>
      <c r="I61" s="6">
        <v>6.11794331979293E-7</v>
      </c>
      <c r="J61" s="6">
        <v>4.1730528896832301E-13</v>
      </c>
      <c r="K61" s="9">
        <v>2.70876100329992E-15</v>
      </c>
    </row>
    <row r="62" spans="1:11">
      <c r="A62" s="1" t="s">
        <v>252</v>
      </c>
      <c r="B62" s="1" t="s">
        <v>253</v>
      </c>
      <c r="D62" s="8" t="s">
        <v>253</v>
      </c>
      <c r="E62" s="5">
        <v>1.3525153982584399</v>
      </c>
      <c r="F62" s="5">
        <v>0.91793963645327203</v>
      </c>
      <c r="G62" s="5">
        <v>1.95754567138569</v>
      </c>
      <c r="H62" s="5">
        <f t="shared" si="0"/>
        <v>1.409333568699134</v>
      </c>
      <c r="I62" s="6">
        <v>2.0452988028349801E-10</v>
      </c>
      <c r="J62" s="6">
        <v>2.28741843310734E-5</v>
      </c>
      <c r="K62" s="9">
        <v>1.2262270490176801E-19</v>
      </c>
    </row>
    <row r="63" spans="1:11">
      <c r="A63" s="1" t="s">
        <v>152</v>
      </c>
      <c r="B63" s="1" t="s">
        <v>153</v>
      </c>
      <c r="D63" s="8" t="s">
        <v>153</v>
      </c>
      <c r="E63" s="5">
        <v>0.87416349104521496</v>
      </c>
      <c r="F63" s="5">
        <v>1.05642102926362</v>
      </c>
      <c r="G63" s="5">
        <v>2.2684749193671001</v>
      </c>
      <c r="H63" s="5">
        <f t="shared" si="0"/>
        <v>1.3996864798919784</v>
      </c>
      <c r="I63" s="6">
        <v>2.3508201125034602E-5</v>
      </c>
      <c r="J63" s="6">
        <v>4.4060944112822502E-7</v>
      </c>
      <c r="K63" s="9">
        <v>5.9715591341937603E-26</v>
      </c>
    </row>
    <row r="64" spans="1:11">
      <c r="A64" s="1" t="s">
        <v>16</v>
      </c>
      <c r="B64" s="1" t="s">
        <v>17</v>
      </c>
      <c r="D64" s="8" t="s">
        <v>17</v>
      </c>
      <c r="E64" s="5">
        <v>1.14059382200978</v>
      </c>
      <c r="F64" s="5">
        <v>1.37095026143971</v>
      </c>
      <c r="G64" s="5">
        <v>1.6657309559451901</v>
      </c>
      <c r="H64" s="5">
        <f t="shared" si="0"/>
        <v>1.3924250131315599</v>
      </c>
      <c r="I64" s="6">
        <v>2.49379305931271E-7</v>
      </c>
      <c r="J64" s="6">
        <v>8.6675480414036096E-10</v>
      </c>
      <c r="K64" s="9">
        <v>6.4815881740779705E-14</v>
      </c>
    </row>
    <row r="65" spans="1:11">
      <c r="A65" s="1" t="s">
        <v>532</v>
      </c>
      <c r="B65" s="1" t="s">
        <v>533</v>
      </c>
      <c r="D65" s="8" t="s">
        <v>533</v>
      </c>
      <c r="E65" s="5">
        <v>1.42208171846898</v>
      </c>
      <c r="F65" s="5">
        <v>1.0104551277717999</v>
      </c>
      <c r="G65" s="5">
        <v>1.7316637234033401</v>
      </c>
      <c r="H65" s="5">
        <f t="shared" si="0"/>
        <v>1.3880668565480399</v>
      </c>
      <c r="I65" s="6">
        <v>9.2161564017476394E-11</v>
      </c>
      <c r="J65" s="6">
        <v>1.15805884304507E-5</v>
      </c>
      <c r="K65" s="9">
        <v>6.6103072511717402E-14</v>
      </c>
    </row>
    <row r="66" spans="1:11">
      <c r="A66" s="1" t="s">
        <v>192</v>
      </c>
      <c r="B66" s="1" t="s">
        <v>193</v>
      </c>
      <c r="D66" s="8" t="s">
        <v>193</v>
      </c>
      <c r="E66" s="5">
        <v>1.59154130407517</v>
      </c>
      <c r="F66" s="5">
        <v>1.9255693085925301</v>
      </c>
      <c r="G66" s="5">
        <v>0.57699046992025904</v>
      </c>
      <c r="H66" s="5">
        <f t="shared" si="0"/>
        <v>1.3647003608626533</v>
      </c>
      <c r="I66" s="6">
        <v>2.6543432077908601E-11</v>
      </c>
      <c r="J66" s="6">
        <v>3.2477462546756498E-13</v>
      </c>
      <c r="K66" s="9">
        <v>6.8861015151316001E-3</v>
      </c>
    </row>
    <row r="67" spans="1:11">
      <c r="A67" s="1" t="s">
        <v>474</v>
      </c>
      <c r="B67" s="1" t="s">
        <v>475</v>
      </c>
      <c r="D67" s="8" t="s">
        <v>475</v>
      </c>
      <c r="E67" s="5">
        <v>1.0148166724964101</v>
      </c>
      <c r="F67" s="5">
        <v>2.3928682432404602</v>
      </c>
      <c r="G67" s="5">
        <v>0.674265373038064</v>
      </c>
      <c r="H67" s="5">
        <f t="shared" ref="H67:H129" si="1">AVERAGE(E67:G67)</f>
        <v>1.3606500962583112</v>
      </c>
      <c r="I67" s="6">
        <v>1.0846987165794699E-5</v>
      </c>
      <c r="J67" s="6">
        <v>1.1936503739686601E-18</v>
      </c>
      <c r="K67" s="9">
        <v>1.5300401594418201E-3</v>
      </c>
    </row>
    <row r="68" spans="1:11">
      <c r="A68" s="1" t="s">
        <v>104</v>
      </c>
      <c r="B68" s="1" t="s">
        <v>105</v>
      </c>
      <c r="D68" s="8" t="s">
        <v>105</v>
      </c>
      <c r="E68" s="5">
        <v>0.99205995242656198</v>
      </c>
      <c r="F68" s="5">
        <v>1.7791548710512599</v>
      </c>
      <c r="G68" s="5">
        <v>1.2845305363568</v>
      </c>
      <c r="H68" s="5">
        <f t="shared" si="1"/>
        <v>1.3519151199448742</v>
      </c>
      <c r="I68" s="6">
        <v>5.8723151635212003E-6</v>
      </c>
      <c r="J68" s="6">
        <v>6.6174279872439704E-15</v>
      </c>
      <c r="K68" s="9">
        <v>1.7036043176731001E-8</v>
      </c>
    </row>
    <row r="69" spans="1:11">
      <c r="A69" s="1" t="s">
        <v>362</v>
      </c>
      <c r="B69" s="1" t="s">
        <v>363</v>
      </c>
      <c r="D69" s="8" t="s">
        <v>363</v>
      </c>
      <c r="E69" s="5">
        <v>0.97531281810280901</v>
      </c>
      <c r="F69" s="5">
        <v>1.9924949009849799</v>
      </c>
      <c r="G69" s="5">
        <v>1.08745151439651</v>
      </c>
      <c r="H69" s="5">
        <f t="shared" si="1"/>
        <v>1.3517530778280997</v>
      </c>
      <c r="I69" s="6">
        <v>2.47179101759273E-5</v>
      </c>
      <c r="J69" s="6">
        <v>6.0448674514655296E-15</v>
      </c>
      <c r="K69" s="9">
        <v>6.76240653001328E-7</v>
      </c>
    </row>
    <row r="70" spans="1:11">
      <c r="A70" s="1" t="s">
        <v>142</v>
      </c>
      <c r="B70" s="1" t="s">
        <v>143</v>
      </c>
      <c r="D70" s="8" t="s">
        <v>143</v>
      </c>
      <c r="E70" s="5">
        <v>1.22742115908241</v>
      </c>
      <c r="F70" s="5">
        <v>1.5509517760598099</v>
      </c>
      <c r="G70" s="5">
        <v>1.2614663401819499</v>
      </c>
      <c r="H70" s="5">
        <f t="shared" si="1"/>
        <v>1.3466130917747232</v>
      </c>
      <c r="I70" s="6">
        <v>2.0823163490286099E-8</v>
      </c>
      <c r="J70" s="6">
        <v>1.57741933265736E-10</v>
      </c>
      <c r="K70" s="9">
        <v>4.7427118679565499E-9</v>
      </c>
    </row>
    <row r="71" spans="1:11">
      <c r="A71" s="1" t="s">
        <v>586</v>
      </c>
      <c r="B71" s="1" t="s">
        <v>587</v>
      </c>
      <c r="D71" s="8" t="s">
        <v>587</v>
      </c>
      <c r="E71" s="5">
        <v>0.87162965278336102</v>
      </c>
      <c r="F71" s="5">
        <v>1.48557007478814</v>
      </c>
      <c r="G71" s="5">
        <v>1.66745270904336</v>
      </c>
      <c r="H71" s="5">
        <f t="shared" si="1"/>
        <v>1.3415508122049538</v>
      </c>
      <c r="I71" s="6">
        <v>1.47723879644377E-4</v>
      </c>
      <c r="J71" s="6">
        <v>5.0946711003858902E-9</v>
      </c>
      <c r="K71" s="9">
        <v>5.51159160203204E-14</v>
      </c>
    </row>
    <row r="72" spans="1:11">
      <c r="A72" s="1" t="s">
        <v>656</v>
      </c>
      <c r="B72" s="1" t="s">
        <v>657</v>
      </c>
      <c r="D72" s="8" t="s">
        <v>657</v>
      </c>
      <c r="E72" s="5">
        <v>1.31888249903846</v>
      </c>
      <c r="F72" s="5">
        <v>1.59953335411762</v>
      </c>
      <c r="G72" s="5">
        <v>1.0852464954351699</v>
      </c>
      <c r="H72" s="5">
        <f t="shared" si="1"/>
        <v>1.3345541161970835</v>
      </c>
      <c r="I72" s="6">
        <v>4.6266836752077203E-9</v>
      </c>
      <c r="J72" s="6">
        <v>1.8687253590793299E-12</v>
      </c>
      <c r="K72" s="9">
        <v>8.1138547868447295E-7</v>
      </c>
    </row>
    <row r="73" spans="1:11">
      <c r="A73" s="1" t="s">
        <v>612</v>
      </c>
      <c r="B73" s="1" t="s">
        <v>613</v>
      </c>
      <c r="D73" s="8" t="s">
        <v>613</v>
      </c>
      <c r="E73" s="5">
        <v>1.3246649060040001</v>
      </c>
      <c r="F73" s="5">
        <v>0.64169056709461703</v>
      </c>
      <c r="G73" s="5">
        <v>2.0062178183952599</v>
      </c>
      <c r="H73" s="5">
        <f t="shared" si="1"/>
        <v>1.3241910971646258</v>
      </c>
      <c r="I73" s="6">
        <v>8.5849686171067501E-10</v>
      </c>
      <c r="J73" s="6">
        <v>2.4369402646586499E-3</v>
      </c>
      <c r="K73" s="9">
        <v>4.2491417653828E-18</v>
      </c>
    </row>
    <row r="74" spans="1:11">
      <c r="A74" s="1" t="s">
        <v>432</v>
      </c>
      <c r="B74" s="1" t="s">
        <v>433</v>
      </c>
      <c r="D74" s="8" t="s">
        <v>433</v>
      </c>
      <c r="E74" s="5">
        <v>1.5276452813171799</v>
      </c>
      <c r="F74" s="5">
        <v>0.75066338275284095</v>
      </c>
      <c r="G74" s="5">
        <v>1.66864796439282</v>
      </c>
      <c r="H74" s="5">
        <f t="shared" si="1"/>
        <v>1.3156522094876137</v>
      </c>
      <c r="I74" s="6">
        <v>4.2323410299696699E-13</v>
      </c>
      <c r="J74" s="6">
        <v>4.05789023215354E-4</v>
      </c>
      <c r="K74" s="9">
        <v>7.8735065919968202E-15</v>
      </c>
    </row>
    <row r="75" spans="1:11">
      <c r="A75" s="1" t="s">
        <v>482</v>
      </c>
      <c r="B75" s="1" t="s">
        <v>483</v>
      </c>
      <c r="D75" s="8" t="s">
        <v>483</v>
      </c>
      <c r="E75" s="5">
        <v>0.94747978004841504</v>
      </c>
      <c r="F75" s="5">
        <v>1.7744037908972501</v>
      </c>
      <c r="G75" s="5">
        <v>1.1993203426894401</v>
      </c>
      <c r="H75" s="5">
        <f t="shared" si="1"/>
        <v>1.3070679712117017</v>
      </c>
      <c r="I75" s="6">
        <v>9.0010840620567499E-5</v>
      </c>
      <c r="J75" s="6">
        <v>3.3246970857729799E-12</v>
      </c>
      <c r="K75" s="9">
        <v>7.9304459157929496E-8</v>
      </c>
    </row>
    <row r="76" spans="1:11">
      <c r="A76" s="1" t="s">
        <v>506</v>
      </c>
      <c r="B76" s="1" t="s">
        <v>507</v>
      </c>
      <c r="D76" s="8" t="s">
        <v>507</v>
      </c>
      <c r="E76" s="5">
        <v>0.86485288451549203</v>
      </c>
      <c r="F76" s="5">
        <v>1.4526254044682101</v>
      </c>
      <c r="G76" s="5">
        <v>1.57311461375318</v>
      </c>
      <c r="H76" s="5">
        <f t="shared" si="1"/>
        <v>1.2968643009122942</v>
      </c>
      <c r="I76" s="6">
        <v>1.5781362191585801E-4</v>
      </c>
      <c r="J76" s="6">
        <v>1.4041014315578E-9</v>
      </c>
      <c r="K76" s="9">
        <v>4.3469892405697898E-12</v>
      </c>
    </row>
    <row r="77" spans="1:11">
      <c r="A77" s="1" t="s">
        <v>162</v>
      </c>
      <c r="B77" s="1" t="s">
        <v>163</v>
      </c>
      <c r="D77" s="8" t="s">
        <v>163</v>
      </c>
      <c r="E77" s="5">
        <v>0.81217091335792602</v>
      </c>
      <c r="F77" s="5">
        <v>1.34875062087584</v>
      </c>
      <c r="G77" s="5">
        <v>1.7284117363817699</v>
      </c>
      <c r="H77" s="5">
        <f t="shared" si="1"/>
        <v>1.296444423538512</v>
      </c>
      <c r="I77" s="6">
        <v>1.066081846095E-4</v>
      </c>
      <c r="J77" s="6">
        <v>2.8669917876416701E-10</v>
      </c>
      <c r="K77" s="9">
        <v>3.09940322825669E-16</v>
      </c>
    </row>
    <row r="78" spans="1:11">
      <c r="A78" s="1" t="s">
        <v>42</v>
      </c>
      <c r="B78" s="1" t="s">
        <v>43</v>
      </c>
      <c r="D78" s="8" t="s">
        <v>43</v>
      </c>
      <c r="E78" s="5">
        <v>1.02654103492156</v>
      </c>
      <c r="F78" s="5">
        <v>1.30816625315084</v>
      </c>
      <c r="G78" s="5">
        <v>1.47254742860216</v>
      </c>
      <c r="H78" s="5">
        <f t="shared" si="1"/>
        <v>1.2690849055581868</v>
      </c>
      <c r="I78" s="6">
        <v>6.9326309423738199E-7</v>
      </c>
      <c r="J78" s="6">
        <v>3.64420115125078E-10</v>
      </c>
      <c r="K78" s="9">
        <v>1.8497540895799398E-12</v>
      </c>
    </row>
    <row r="79" spans="1:11">
      <c r="A79" s="1" t="s">
        <v>346</v>
      </c>
      <c r="B79" s="1" t="s">
        <v>347</v>
      </c>
      <c r="D79" s="8" t="s">
        <v>347</v>
      </c>
      <c r="E79" s="5">
        <v>0.79424369973881903</v>
      </c>
      <c r="F79" s="5">
        <v>1.7452545550835099</v>
      </c>
      <c r="G79" s="5">
        <v>1.2635444609136599</v>
      </c>
      <c r="H79" s="5">
        <f t="shared" si="1"/>
        <v>1.2676809052453297</v>
      </c>
      <c r="I79" s="6">
        <v>1.8637830511863E-4</v>
      </c>
      <c r="J79" s="6">
        <v>7.0832320470005001E-15</v>
      </c>
      <c r="K79" s="9">
        <v>2.44098693330138E-9</v>
      </c>
    </row>
    <row r="80" spans="1:11">
      <c r="A80" s="1" t="s">
        <v>580</v>
      </c>
      <c r="B80" s="1" t="s">
        <v>581</v>
      </c>
      <c r="D80" s="8" t="s">
        <v>581</v>
      </c>
      <c r="E80" s="5">
        <v>0.842418563331642</v>
      </c>
      <c r="F80" s="5">
        <v>1.09744911221506</v>
      </c>
      <c r="G80" s="5">
        <v>1.85292535486834</v>
      </c>
      <c r="H80" s="5">
        <f t="shared" si="1"/>
        <v>1.2642643434716807</v>
      </c>
      <c r="I80" s="6">
        <v>5.1327524488256501E-5</v>
      </c>
      <c r="J80" s="6">
        <v>1.99751514223011E-7</v>
      </c>
      <c r="K80" s="9">
        <v>4.4530197162181003E-18</v>
      </c>
    </row>
    <row r="81" spans="1:11">
      <c r="A81" s="1" t="s">
        <v>364</v>
      </c>
      <c r="B81" s="1" t="s">
        <v>365</v>
      </c>
      <c r="D81" s="8" t="s">
        <v>365</v>
      </c>
      <c r="E81" s="5">
        <v>1.0200669523577599</v>
      </c>
      <c r="F81" s="5">
        <v>1.17755337234861</v>
      </c>
      <c r="G81" s="5">
        <v>1.5515144394304601</v>
      </c>
      <c r="H81" s="5">
        <f t="shared" si="1"/>
        <v>1.24971158804561</v>
      </c>
      <c r="I81" s="6">
        <v>1.23270014284465E-6</v>
      </c>
      <c r="J81" s="6">
        <v>2.5037813906002099E-8</v>
      </c>
      <c r="K81" s="9">
        <v>8.3882526165343301E-13</v>
      </c>
    </row>
    <row r="82" spans="1:11">
      <c r="A82" s="1" t="s">
        <v>518</v>
      </c>
      <c r="B82" s="1" t="s">
        <v>519</v>
      </c>
      <c r="D82" s="8" t="s">
        <v>519</v>
      </c>
      <c r="E82" s="5">
        <v>0.90327194894122398</v>
      </c>
      <c r="F82" s="5">
        <v>1.28783454320335</v>
      </c>
      <c r="G82" s="5">
        <v>1.5528805420962399</v>
      </c>
      <c r="H82" s="5">
        <f t="shared" si="1"/>
        <v>1.2479956780802712</v>
      </c>
      <c r="I82" s="6">
        <v>1.15723447915393E-5</v>
      </c>
      <c r="J82" s="6">
        <v>5.7014926486307801E-10</v>
      </c>
      <c r="K82" s="9">
        <v>1.1684712816355701E-13</v>
      </c>
    </row>
    <row r="83" spans="1:11">
      <c r="A83" s="1" t="s">
        <v>10</v>
      </c>
      <c r="B83" s="1" t="s">
        <v>11</v>
      </c>
      <c r="D83" s="8" t="s">
        <v>11</v>
      </c>
      <c r="E83" s="5">
        <v>1.2136330779648701</v>
      </c>
      <c r="F83" s="5">
        <v>1.29321643279163</v>
      </c>
      <c r="G83" s="5">
        <v>1.20936107650033</v>
      </c>
      <c r="H83" s="5">
        <f t="shared" si="1"/>
        <v>1.2387368624189434</v>
      </c>
      <c r="I83" s="6">
        <v>3.04588809754483E-8</v>
      </c>
      <c r="J83" s="6">
        <v>7.9188045825272905E-7</v>
      </c>
      <c r="K83" s="9">
        <v>9.5217837584042495E-8</v>
      </c>
    </row>
    <row r="84" spans="1:11">
      <c r="A84" s="1" t="s">
        <v>336</v>
      </c>
      <c r="B84" s="1" t="s">
        <v>337</v>
      </c>
      <c r="D84" s="8" t="s">
        <v>337</v>
      </c>
      <c r="E84" s="5">
        <v>1.2396329914359201</v>
      </c>
      <c r="F84" s="5">
        <v>1.3004381573597901</v>
      </c>
      <c r="G84" s="5">
        <v>1.13340449860751</v>
      </c>
      <c r="H84" s="5">
        <f t="shared" si="1"/>
        <v>1.22449188246774</v>
      </c>
      <c r="I84" s="6">
        <v>6.4925532481320204E-8</v>
      </c>
      <c r="J84" s="6">
        <v>8.1845565844385202E-8</v>
      </c>
      <c r="K84" s="9">
        <v>7.1379124787363101E-7</v>
      </c>
    </row>
    <row r="85" spans="1:11">
      <c r="A85" s="1" t="s">
        <v>222</v>
      </c>
      <c r="B85" s="1" t="s">
        <v>223</v>
      </c>
      <c r="D85" s="8" t="s">
        <v>223</v>
      </c>
      <c r="E85" s="5">
        <v>0.76177632307512999</v>
      </c>
      <c r="F85" s="5">
        <v>0.62680789858753305</v>
      </c>
      <c r="G85" s="5">
        <v>2.2776721861640099</v>
      </c>
      <c r="H85" s="5">
        <f t="shared" si="1"/>
        <v>1.2220854692755576</v>
      </c>
      <c r="I85" s="6">
        <v>2.2112109555561801E-4</v>
      </c>
      <c r="J85" s="6">
        <v>2.39723679732804E-3</v>
      </c>
      <c r="K85" s="9">
        <v>4.09308986648124E-26</v>
      </c>
    </row>
    <row r="86" spans="1:11">
      <c r="A86" s="1" t="s">
        <v>56</v>
      </c>
      <c r="B86" s="1" t="s">
        <v>57</v>
      </c>
      <c r="D86" s="8" t="s">
        <v>57</v>
      </c>
      <c r="E86" s="5">
        <v>0.96858920443795804</v>
      </c>
      <c r="F86" s="5">
        <v>1.1398535683048101</v>
      </c>
      <c r="G86" s="5">
        <v>1.5534813435070201</v>
      </c>
      <c r="H86" s="5">
        <f t="shared" si="1"/>
        <v>1.2206413720832627</v>
      </c>
      <c r="I86" s="6">
        <v>1.37074799434013E-5</v>
      </c>
      <c r="J86" s="6">
        <v>2.0161112466716501E-6</v>
      </c>
      <c r="K86" s="9">
        <v>8.9304683451246999E-12</v>
      </c>
    </row>
    <row r="87" spans="1:11">
      <c r="A87" s="1" t="s">
        <v>304</v>
      </c>
      <c r="B87" s="1" t="s">
        <v>305</v>
      </c>
      <c r="D87" s="8" t="s">
        <v>305</v>
      </c>
      <c r="E87" s="5">
        <v>1.08820830978133</v>
      </c>
      <c r="F87" s="5">
        <v>1.7193923064727901</v>
      </c>
      <c r="G87" s="5">
        <v>0.85281526653473905</v>
      </c>
      <c r="H87" s="5">
        <f t="shared" si="1"/>
        <v>1.2201386275962864</v>
      </c>
      <c r="I87" s="6">
        <v>1.5535581703449799E-7</v>
      </c>
      <c r="J87" s="6">
        <v>6.3840969570988401E-16</v>
      </c>
      <c r="K87" s="9">
        <v>3.5761987083627602E-5</v>
      </c>
    </row>
    <row r="88" spans="1:11">
      <c r="A88" s="1" t="s">
        <v>658</v>
      </c>
      <c r="B88" s="1" t="s">
        <v>659</v>
      </c>
      <c r="D88" s="8" t="s">
        <v>659</v>
      </c>
      <c r="E88" s="5">
        <v>0.88843484570445896</v>
      </c>
      <c r="F88" s="5">
        <v>1.1732755151738401</v>
      </c>
      <c r="G88" s="5">
        <v>1.5366378442116699</v>
      </c>
      <c r="H88" s="5">
        <f t="shared" si="1"/>
        <v>1.1994494016966561</v>
      </c>
      <c r="I88" s="6">
        <v>2.4832942862461099E-5</v>
      </c>
      <c r="J88" s="6">
        <v>6.2147619353697695E-8</v>
      </c>
      <c r="K88" s="9">
        <v>5.4398936677906905E-13</v>
      </c>
    </row>
    <row r="89" spans="1:11">
      <c r="A89" s="1" t="s">
        <v>560</v>
      </c>
      <c r="B89" s="1" t="s">
        <v>561</v>
      </c>
      <c r="D89" s="8" t="s">
        <v>561</v>
      </c>
      <c r="E89" s="5">
        <v>0.904244772430841</v>
      </c>
      <c r="F89" s="5">
        <v>0.80434820331947399</v>
      </c>
      <c r="G89" s="5">
        <v>1.87231703281224</v>
      </c>
      <c r="H89" s="5">
        <f t="shared" si="1"/>
        <v>1.1936366695208518</v>
      </c>
      <c r="I89" s="6">
        <v>2.3156164137738299E-5</v>
      </c>
      <c r="J89" s="6">
        <v>1.6226770315965199E-4</v>
      </c>
      <c r="K89" s="9">
        <v>8.3907981889552805E-18</v>
      </c>
    </row>
    <row r="90" spans="1:11">
      <c r="A90" s="1" t="s">
        <v>284</v>
      </c>
      <c r="B90" s="1" t="s">
        <v>285</v>
      </c>
      <c r="D90" s="8" t="s">
        <v>285</v>
      </c>
      <c r="E90" s="5">
        <v>0.80719416171695701</v>
      </c>
      <c r="F90" s="5">
        <v>1.25153800749838</v>
      </c>
      <c r="G90" s="5">
        <v>1.5085931726527799</v>
      </c>
      <c r="H90" s="5">
        <f t="shared" si="1"/>
        <v>1.1891084472893723</v>
      </c>
      <c r="I90" s="6">
        <v>1.2478581416208801E-4</v>
      </c>
      <c r="J90" s="6">
        <v>2.1743321178825902E-8</v>
      </c>
      <c r="K90" s="9">
        <v>1.48997926376631E-12</v>
      </c>
    </row>
    <row r="91" spans="1:11">
      <c r="A91" s="1" t="s">
        <v>248</v>
      </c>
      <c r="B91" s="1" t="s">
        <v>249</v>
      </c>
      <c r="D91" s="8" t="s">
        <v>249</v>
      </c>
      <c r="E91" s="5">
        <v>1.21201306925529</v>
      </c>
      <c r="F91" s="5">
        <v>1.0137639063755299</v>
      </c>
      <c r="G91" s="5">
        <v>1.3328589249548299</v>
      </c>
      <c r="H91" s="5">
        <f t="shared" si="1"/>
        <v>1.1862119668618833</v>
      </c>
      <c r="I91" s="6">
        <v>1.3650725422345801E-8</v>
      </c>
      <c r="J91" s="6">
        <v>5.7035061129878097E-6</v>
      </c>
      <c r="K91" s="9">
        <v>8.66809615356408E-10</v>
      </c>
    </row>
    <row r="92" spans="1:11">
      <c r="A92" s="1" t="s">
        <v>454</v>
      </c>
      <c r="B92" s="1" t="s">
        <v>455</v>
      </c>
      <c r="D92" s="8" t="s">
        <v>455</v>
      </c>
      <c r="E92" s="5">
        <v>0.89268672695857898</v>
      </c>
      <c r="F92" s="5">
        <v>1.2620362194065</v>
      </c>
      <c r="G92" s="5">
        <v>1.39598249755294</v>
      </c>
      <c r="H92" s="5">
        <f t="shared" si="1"/>
        <v>1.1835684813060066</v>
      </c>
      <c r="I92" s="6">
        <v>1.5373333956295201E-5</v>
      </c>
      <c r="J92" s="6">
        <v>1.45764880712625E-9</v>
      </c>
      <c r="K92" s="9">
        <v>2.20860879552154E-11</v>
      </c>
    </row>
    <row r="93" spans="1:11">
      <c r="A93" s="1" t="s">
        <v>78</v>
      </c>
      <c r="B93" s="1" t="s">
        <v>79</v>
      </c>
      <c r="D93" s="8" t="s">
        <v>79</v>
      </c>
      <c r="E93" s="5">
        <v>0.87016235492435201</v>
      </c>
      <c r="F93" s="5">
        <v>1.3305869559558301</v>
      </c>
      <c r="G93" s="5">
        <v>1.34884372289424</v>
      </c>
      <c r="H93" s="5">
        <f t="shared" si="1"/>
        <v>1.1831976779248075</v>
      </c>
      <c r="I93" s="6">
        <v>4.03771429950198E-5</v>
      </c>
      <c r="J93" s="6">
        <v>1.00227845153354E-9</v>
      </c>
      <c r="K93" s="9">
        <v>2.21644692674835E-10</v>
      </c>
    </row>
    <row r="94" spans="1:11">
      <c r="A94" s="1" t="s">
        <v>522</v>
      </c>
      <c r="B94" s="1" t="s">
        <v>523</v>
      </c>
      <c r="D94" s="8" t="s">
        <v>523</v>
      </c>
      <c r="E94" s="5">
        <v>0.98657567124900503</v>
      </c>
      <c r="F94" s="5">
        <v>1.38099404771253</v>
      </c>
      <c r="G94" s="5">
        <v>1.1638037590005501</v>
      </c>
      <c r="H94" s="5">
        <f t="shared" si="1"/>
        <v>1.1771244926540285</v>
      </c>
      <c r="I94" s="6">
        <v>1.8664147639875998E-5</v>
      </c>
      <c r="J94" s="6">
        <v>1.3105334557823801E-7</v>
      </c>
      <c r="K94" s="9">
        <v>2.9172271351710901E-3</v>
      </c>
    </row>
    <row r="95" spans="1:11">
      <c r="A95" s="1" t="s">
        <v>342</v>
      </c>
      <c r="B95" s="1" t="s">
        <v>343</v>
      </c>
      <c r="D95" s="8" t="s">
        <v>343</v>
      </c>
      <c r="E95" s="5">
        <v>1.25709639340734</v>
      </c>
      <c r="F95" s="5">
        <v>1.4326322561427201</v>
      </c>
      <c r="G95" s="5">
        <v>0.841207807325282</v>
      </c>
      <c r="H95" s="5">
        <f t="shared" si="1"/>
        <v>1.1769788189584474</v>
      </c>
      <c r="I95" s="6">
        <v>2.3228223255660099E-9</v>
      </c>
      <c r="J95" s="6">
        <v>3.06532781806785E-11</v>
      </c>
      <c r="K95" s="9">
        <v>5.434097005564E-5</v>
      </c>
    </row>
    <row r="96" spans="1:11">
      <c r="A96" s="1" t="s">
        <v>182</v>
      </c>
      <c r="B96" s="1" t="s">
        <v>183</v>
      </c>
      <c r="D96" s="8" t="s">
        <v>183</v>
      </c>
      <c r="E96" s="5">
        <v>0.93451861522430002</v>
      </c>
      <c r="F96" s="5">
        <v>1.68801438161321</v>
      </c>
      <c r="G96" s="5">
        <v>0.88300405823633599</v>
      </c>
      <c r="H96" s="5">
        <f t="shared" si="1"/>
        <v>1.1685123516912819</v>
      </c>
      <c r="I96" s="6">
        <v>1.5699451423142001E-5</v>
      </c>
      <c r="J96" s="6">
        <v>4.29412086127894E-12</v>
      </c>
      <c r="K96" s="9">
        <v>4.5777270113461402E-5</v>
      </c>
    </row>
    <row r="97" spans="1:11">
      <c r="A97" s="1" t="s">
        <v>488</v>
      </c>
      <c r="B97" s="1" t="s">
        <v>489</v>
      </c>
      <c r="D97" s="8" t="s">
        <v>489</v>
      </c>
      <c r="E97" s="5">
        <v>0.97521908112750399</v>
      </c>
      <c r="F97" s="5">
        <v>1.63351452218566</v>
      </c>
      <c r="G97" s="5">
        <v>0.88702869756049696</v>
      </c>
      <c r="H97" s="5">
        <f t="shared" si="1"/>
        <v>1.1652541002912202</v>
      </c>
      <c r="I97" s="6">
        <v>3.0429405747046799E-6</v>
      </c>
      <c r="J97" s="6">
        <v>2.2814734110839399E-14</v>
      </c>
      <c r="K97" s="9">
        <v>2.07967052425585E-5</v>
      </c>
    </row>
    <row r="98" spans="1:11">
      <c r="A98" s="1" t="s">
        <v>356</v>
      </c>
      <c r="B98" s="1" t="s">
        <v>357</v>
      </c>
      <c r="D98" s="8" t="s">
        <v>357</v>
      </c>
      <c r="E98" s="5">
        <v>0.82835902140228501</v>
      </c>
      <c r="F98" s="5">
        <v>1.03352418595822</v>
      </c>
      <c r="G98" s="5">
        <v>1.60293182784803</v>
      </c>
      <c r="H98" s="5">
        <f t="shared" si="1"/>
        <v>1.1549383450695117</v>
      </c>
      <c r="I98" s="6">
        <v>1.8092468623287701E-4</v>
      </c>
      <c r="J98" s="6">
        <v>3.8734024490362902E-6</v>
      </c>
      <c r="K98" s="9">
        <v>2.3525749677884199E-13</v>
      </c>
    </row>
    <row r="99" spans="1:11">
      <c r="A99" s="1" t="s">
        <v>118</v>
      </c>
      <c r="B99" s="1" t="s">
        <v>119</v>
      </c>
      <c r="D99" s="8" t="s">
        <v>119</v>
      </c>
      <c r="E99" s="5">
        <v>1.0116214366074201</v>
      </c>
      <c r="F99" s="5">
        <v>0.68349060233673697</v>
      </c>
      <c r="G99" s="5">
        <v>1.74974963060586</v>
      </c>
      <c r="H99" s="5">
        <f t="shared" si="1"/>
        <v>1.148287223183339</v>
      </c>
      <c r="I99" s="6">
        <v>1.00321337126693E-6</v>
      </c>
      <c r="J99" s="6">
        <v>9.27475868989483E-4</v>
      </c>
      <c r="K99" s="9">
        <v>1.0264362235591301E-16</v>
      </c>
    </row>
    <row r="100" spans="1:11">
      <c r="A100" s="1" t="s">
        <v>320</v>
      </c>
      <c r="B100" s="1" t="s">
        <v>321</v>
      </c>
      <c r="D100" s="8" t="s">
        <v>321</v>
      </c>
      <c r="E100" s="5">
        <v>0.969074041658049</v>
      </c>
      <c r="F100" s="5">
        <v>1.1467859643724301</v>
      </c>
      <c r="G100" s="5">
        <v>1.3059988789005099</v>
      </c>
      <c r="H100" s="5">
        <f t="shared" si="1"/>
        <v>1.1406196283103296</v>
      </c>
      <c r="I100" s="6">
        <v>3.0014464300034701E-6</v>
      </c>
      <c r="J100" s="6">
        <v>6.4669121669973703E-8</v>
      </c>
      <c r="K100" s="9">
        <v>7.3767319260223001E-10</v>
      </c>
    </row>
    <row r="101" spans="1:11">
      <c r="A101" s="1" t="s">
        <v>358</v>
      </c>
      <c r="B101" s="1" t="s">
        <v>359</v>
      </c>
      <c r="D101" s="8" t="s">
        <v>359</v>
      </c>
      <c r="E101" s="5">
        <v>0.88428326818302005</v>
      </c>
      <c r="F101" s="5">
        <v>1.28084110245271</v>
      </c>
      <c r="G101" s="5">
        <v>1.24247861070651</v>
      </c>
      <c r="H101" s="5">
        <f t="shared" si="1"/>
        <v>1.1358676604474134</v>
      </c>
      <c r="I101" s="6">
        <v>3.3145477065317997E-5</v>
      </c>
      <c r="J101" s="6">
        <v>1.2879258842228501E-8</v>
      </c>
      <c r="K101" s="9">
        <v>4.9284095576781603E-9</v>
      </c>
    </row>
    <row r="102" spans="1:11">
      <c r="A102" s="1" t="s">
        <v>198</v>
      </c>
      <c r="B102" s="1" t="s">
        <v>199</v>
      </c>
      <c r="D102" s="8" t="s">
        <v>199</v>
      </c>
      <c r="E102" s="5">
        <v>0.95999807483759303</v>
      </c>
      <c r="F102" s="5">
        <v>1.1463001426653801</v>
      </c>
      <c r="G102" s="5">
        <v>1.2773828348152101</v>
      </c>
      <c r="H102" s="5">
        <f t="shared" si="1"/>
        <v>1.1278936841060612</v>
      </c>
      <c r="I102" s="6">
        <v>9.4661976561173802E-6</v>
      </c>
      <c r="J102" s="6">
        <v>2.2081575570957101E-7</v>
      </c>
      <c r="K102" s="9">
        <v>2.19801201713645E-8</v>
      </c>
    </row>
    <row r="103" spans="1:11">
      <c r="A103" s="1" t="s">
        <v>588</v>
      </c>
      <c r="B103" s="1" t="s">
        <v>589</v>
      </c>
      <c r="D103" s="8" t="s">
        <v>589</v>
      </c>
      <c r="E103" s="5">
        <v>1.0651723424944799</v>
      </c>
      <c r="F103" s="5">
        <v>0.63379389604028302</v>
      </c>
      <c r="G103" s="5">
        <v>1.6774666131054199</v>
      </c>
      <c r="H103" s="5">
        <f t="shared" si="1"/>
        <v>1.1254776172133942</v>
      </c>
      <c r="I103" s="6">
        <v>6.0935392463547396E-7</v>
      </c>
      <c r="J103" s="6">
        <v>3.4693693098254599E-3</v>
      </c>
      <c r="K103" s="9">
        <v>6.7951804583853898E-14</v>
      </c>
    </row>
    <row r="104" spans="1:11">
      <c r="A104" s="1" t="s">
        <v>608</v>
      </c>
      <c r="B104" s="1" t="s">
        <v>609</v>
      </c>
      <c r="D104" s="8" t="s">
        <v>609</v>
      </c>
      <c r="E104" s="5">
        <v>1.1110342332285801</v>
      </c>
      <c r="F104" s="5">
        <v>1.28607741339959</v>
      </c>
      <c r="G104" s="5">
        <v>0.95362798084799805</v>
      </c>
      <c r="H104" s="5">
        <f t="shared" si="1"/>
        <v>1.1169132091587228</v>
      </c>
      <c r="I104" s="6">
        <v>1.40286781266702E-7</v>
      </c>
      <c r="J104" s="6">
        <v>2.5355050845420501E-9</v>
      </c>
      <c r="K104" s="9">
        <v>5.4624775862979197E-6</v>
      </c>
    </row>
    <row r="105" spans="1:11">
      <c r="A105" s="1" t="s">
        <v>134</v>
      </c>
      <c r="B105" s="1" t="s">
        <v>135</v>
      </c>
      <c r="D105" s="8" t="s">
        <v>135</v>
      </c>
      <c r="E105" s="5">
        <v>0.86932485409625904</v>
      </c>
      <c r="F105" s="5">
        <v>1.9092936849803901</v>
      </c>
      <c r="G105" s="5">
        <v>0.56571446014345195</v>
      </c>
      <c r="H105" s="5">
        <f t="shared" si="1"/>
        <v>1.1147776664067004</v>
      </c>
      <c r="I105" s="6">
        <v>3.40227017909154E-5</v>
      </c>
      <c r="J105" s="6">
        <v>8.4008176050291595E-17</v>
      </c>
      <c r="K105" s="9">
        <v>6.6764341232713803E-3</v>
      </c>
    </row>
    <row r="106" spans="1:11">
      <c r="A106" s="1" t="s">
        <v>484</v>
      </c>
      <c r="B106" s="1" t="s">
        <v>485</v>
      </c>
      <c r="D106" s="8" t="s">
        <v>485</v>
      </c>
      <c r="E106" s="5">
        <v>0.91058967411359704</v>
      </c>
      <c r="F106" s="5">
        <v>1.6221248353461599</v>
      </c>
      <c r="G106" s="5">
        <v>0.80986966230968405</v>
      </c>
      <c r="H106" s="5">
        <f t="shared" si="1"/>
        <v>1.1141947239231469</v>
      </c>
      <c r="I106" s="6">
        <v>1.27023519446446E-5</v>
      </c>
      <c r="J106" s="6">
        <v>3.87772056997472E-14</v>
      </c>
      <c r="K106" s="9">
        <v>9.2326183976594101E-5</v>
      </c>
    </row>
    <row r="107" spans="1:11">
      <c r="A107" s="1" t="s">
        <v>324</v>
      </c>
      <c r="B107" s="1" t="s">
        <v>325</v>
      </c>
      <c r="D107" s="8" t="s">
        <v>325</v>
      </c>
      <c r="E107" s="5">
        <v>0.85569417874628495</v>
      </c>
      <c r="F107" s="5">
        <v>0.68185196792593294</v>
      </c>
      <c r="G107" s="5">
        <v>1.78983696613058</v>
      </c>
      <c r="H107" s="5">
        <f t="shared" si="1"/>
        <v>1.1091277042675991</v>
      </c>
      <c r="I107" s="6">
        <v>5.2487337700728798E-5</v>
      </c>
      <c r="J107" s="6">
        <v>1.1775050585024201E-3</v>
      </c>
      <c r="K107" s="9">
        <v>1.35251825481747E-16</v>
      </c>
    </row>
    <row r="108" spans="1:11">
      <c r="A108" s="1" t="s">
        <v>476</v>
      </c>
      <c r="B108" s="1" t="s">
        <v>477</v>
      </c>
      <c r="D108" s="8" t="s">
        <v>477</v>
      </c>
      <c r="E108" s="5">
        <v>1.06446434876898</v>
      </c>
      <c r="F108" s="5">
        <v>1.3955977937084201</v>
      </c>
      <c r="G108" s="5">
        <v>0.863103434026952</v>
      </c>
      <c r="H108" s="5">
        <f t="shared" si="1"/>
        <v>1.1077218588347841</v>
      </c>
      <c r="I108" s="6">
        <v>1.3257488128443799E-6</v>
      </c>
      <c r="J108" s="6">
        <v>4.7131777670545404E-9</v>
      </c>
      <c r="K108" s="9">
        <v>1.0312247305684E-4</v>
      </c>
    </row>
    <row r="109" spans="1:11">
      <c r="A109" s="1" t="s">
        <v>554</v>
      </c>
      <c r="B109" s="1" t="s">
        <v>555</v>
      </c>
      <c r="D109" s="8" t="s">
        <v>555</v>
      </c>
      <c r="E109" s="5">
        <v>0.88341897171421502</v>
      </c>
      <c r="F109" s="5">
        <v>0.84165650450168605</v>
      </c>
      <c r="G109" s="5">
        <v>1.5827764531011299</v>
      </c>
      <c r="H109" s="5">
        <f t="shared" si="1"/>
        <v>1.1026173097723435</v>
      </c>
      <c r="I109" s="6">
        <v>3.1006742866105402E-5</v>
      </c>
      <c r="J109" s="6">
        <v>1.10568958212812E-4</v>
      </c>
      <c r="K109" s="9">
        <v>3.2557209518088299E-12</v>
      </c>
    </row>
    <row r="110" spans="1:11">
      <c r="A110" s="1" t="s">
        <v>436</v>
      </c>
      <c r="B110" s="1" t="s">
        <v>437</v>
      </c>
      <c r="D110" s="8" t="s">
        <v>437</v>
      </c>
      <c r="E110" s="5">
        <v>0.968160606041922</v>
      </c>
      <c r="F110" s="5">
        <v>0.68696835708510995</v>
      </c>
      <c r="G110" s="5">
        <v>1.64984492174386</v>
      </c>
      <c r="H110" s="5">
        <f t="shared" si="1"/>
        <v>1.1016579616236306</v>
      </c>
      <c r="I110" s="6">
        <v>2.8344425432314998E-6</v>
      </c>
      <c r="J110" s="6">
        <v>8.8275184588008102E-4</v>
      </c>
      <c r="K110" s="9">
        <v>4.1669904237504903E-15</v>
      </c>
    </row>
    <row r="111" spans="1:11">
      <c r="A111" s="1" t="s">
        <v>376</v>
      </c>
      <c r="B111" s="1" t="s">
        <v>377</v>
      </c>
      <c r="D111" s="8" t="s">
        <v>377</v>
      </c>
      <c r="E111" s="5">
        <v>0.98793933524703503</v>
      </c>
      <c r="F111" s="5">
        <v>1.21915696890658</v>
      </c>
      <c r="G111" s="5">
        <v>1.0718503578654599</v>
      </c>
      <c r="H111" s="5">
        <f t="shared" si="1"/>
        <v>1.0929822206730251</v>
      </c>
      <c r="I111" s="6">
        <v>2.5871049849603999E-6</v>
      </c>
      <c r="J111" s="6">
        <v>2.0575571683593802E-8</v>
      </c>
      <c r="K111" s="9">
        <v>3.92519361556184E-7</v>
      </c>
    </row>
    <row r="112" spans="1:11">
      <c r="A112" s="1" t="s">
        <v>650</v>
      </c>
      <c r="B112" s="1" t="s">
        <v>651</v>
      </c>
      <c r="D112" s="8" t="s">
        <v>651</v>
      </c>
      <c r="E112" s="5">
        <v>0.75572932232311996</v>
      </c>
      <c r="F112" s="5">
        <v>1.24893200259262</v>
      </c>
      <c r="G112" s="5">
        <v>1.2656825508759899</v>
      </c>
      <c r="H112" s="5">
        <f t="shared" si="1"/>
        <v>1.09011462526391</v>
      </c>
      <c r="I112" s="6">
        <v>3.4387770642182401E-4</v>
      </c>
      <c r="J112" s="6">
        <v>3.2156632871174298E-9</v>
      </c>
      <c r="K112" s="9">
        <v>1.9167364773125801E-9</v>
      </c>
    </row>
    <row r="113" spans="1:11">
      <c r="A113" s="1" t="s">
        <v>396</v>
      </c>
      <c r="B113" s="1" t="s">
        <v>397</v>
      </c>
      <c r="D113" s="8" t="s">
        <v>397</v>
      </c>
      <c r="E113" s="5">
        <v>0.79565865152092696</v>
      </c>
      <c r="F113" s="5">
        <v>1.38526404852125</v>
      </c>
      <c r="G113" s="5">
        <v>1.0874168623145699</v>
      </c>
      <c r="H113" s="5">
        <f t="shared" si="1"/>
        <v>1.0894465207855824</v>
      </c>
      <c r="I113" s="6">
        <v>1.9172437370608501E-4</v>
      </c>
      <c r="J113" s="6">
        <v>2.2814604873964699E-10</v>
      </c>
      <c r="K113" s="9">
        <v>7.2888232055345095E-7</v>
      </c>
    </row>
    <row r="114" spans="1:11">
      <c r="A114" s="1" t="s">
        <v>582</v>
      </c>
      <c r="B114" s="1" t="s">
        <v>583</v>
      </c>
      <c r="D114" s="8" t="s">
        <v>583</v>
      </c>
      <c r="E114" s="5">
        <v>1.47583448395434</v>
      </c>
      <c r="F114" s="5">
        <v>0.998162149546997</v>
      </c>
      <c r="G114" s="5">
        <v>0.75789611607283602</v>
      </c>
      <c r="H114" s="5">
        <f t="shared" si="1"/>
        <v>1.0772975831913911</v>
      </c>
      <c r="I114" s="6">
        <v>2.0061618694159301E-11</v>
      </c>
      <c r="J114" s="6">
        <v>1.57432148692431E-5</v>
      </c>
      <c r="K114" s="9">
        <v>9.1733501996089895E-4</v>
      </c>
    </row>
    <row r="115" spans="1:11">
      <c r="A115" s="1" t="s">
        <v>530</v>
      </c>
      <c r="B115" s="1" t="s">
        <v>531</v>
      </c>
      <c r="D115" s="8" t="s">
        <v>531</v>
      </c>
      <c r="E115" s="5">
        <v>0.82898076968379997</v>
      </c>
      <c r="F115" s="5">
        <v>1.4818030020842199</v>
      </c>
      <c r="G115" s="5">
        <v>0.91219842099860204</v>
      </c>
      <c r="H115" s="5">
        <f t="shared" si="1"/>
        <v>1.0743273975888741</v>
      </c>
      <c r="I115" s="6">
        <v>2.1522541744568299E-4</v>
      </c>
      <c r="J115" s="6">
        <v>1.6072108790600201E-10</v>
      </c>
      <c r="K115" s="9">
        <v>5.6120018378592103E-5</v>
      </c>
    </row>
    <row r="116" spans="1:11">
      <c r="A116" s="1" t="s">
        <v>58</v>
      </c>
      <c r="B116" s="1" t="s">
        <v>59</v>
      </c>
      <c r="D116" s="8" t="s">
        <v>59</v>
      </c>
      <c r="E116" s="5">
        <v>1.11092924856884</v>
      </c>
      <c r="F116" s="5">
        <v>1.22302044152242</v>
      </c>
      <c r="G116" s="5">
        <v>0.87440214949875905</v>
      </c>
      <c r="H116" s="5">
        <f t="shared" si="1"/>
        <v>1.069450613196673</v>
      </c>
      <c r="I116" s="6">
        <v>1.9951152578260999E-7</v>
      </c>
      <c r="J116" s="6">
        <v>3.3398054444948799E-8</v>
      </c>
      <c r="K116" s="9">
        <v>6.3164460540240702E-5</v>
      </c>
    </row>
    <row r="117" spans="1:11">
      <c r="A117" s="1" t="s">
        <v>6</v>
      </c>
      <c r="B117" s="1" t="s">
        <v>7</v>
      </c>
      <c r="D117" s="8" t="s">
        <v>7</v>
      </c>
      <c r="E117" s="5">
        <v>0.88322363617052202</v>
      </c>
      <c r="F117" s="5">
        <v>0.96986001317556603</v>
      </c>
      <c r="G117" s="5">
        <v>1.3469858526508001</v>
      </c>
      <c r="H117" s="5">
        <f t="shared" si="1"/>
        <v>1.0666898339989628</v>
      </c>
      <c r="I117" s="6">
        <v>1.8655405932358199E-5</v>
      </c>
      <c r="J117" s="6">
        <v>2.8093909298562099E-6</v>
      </c>
      <c r="K117" s="9">
        <v>1.0182279611367099E-10</v>
      </c>
    </row>
    <row r="118" spans="1:11">
      <c r="A118" s="1" t="s">
        <v>422</v>
      </c>
      <c r="B118" s="1" t="s">
        <v>423</v>
      </c>
      <c r="D118" s="8" t="s">
        <v>423</v>
      </c>
      <c r="E118" s="5">
        <v>1.35223798003914</v>
      </c>
      <c r="F118" s="5">
        <v>0.75813840975746105</v>
      </c>
      <c r="G118" s="5">
        <v>1.08275393560719</v>
      </c>
      <c r="H118" s="5">
        <f t="shared" si="1"/>
        <v>1.0643767751345969</v>
      </c>
      <c r="I118" s="6">
        <v>8.0834197441635504E-10</v>
      </c>
      <c r="J118" s="6">
        <v>3.27450040004968E-4</v>
      </c>
      <c r="K118" s="9">
        <v>5.3225247464734498E-7</v>
      </c>
    </row>
    <row r="119" spans="1:11">
      <c r="A119" s="1" t="s">
        <v>188</v>
      </c>
      <c r="B119" s="1" t="s">
        <v>189</v>
      </c>
      <c r="D119" s="8" t="s">
        <v>189</v>
      </c>
      <c r="E119" s="5">
        <v>1.50432602530134</v>
      </c>
      <c r="F119" s="5">
        <v>0.65846232097108304</v>
      </c>
      <c r="G119" s="5">
        <v>0.95082954784915297</v>
      </c>
      <c r="H119" s="5">
        <f t="shared" si="1"/>
        <v>1.0378726313738587</v>
      </c>
      <c r="I119" s="6">
        <v>2.0939028836644999E-11</v>
      </c>
      <c r="J119" s="6">
        <v>1.5940134573558602E-2</v>
      </c>
      <c r="K119" s="9">
        <v>7.3435532674034104E-5</v>
      </c>
    </row>
    <row r="120" spans="1:11">
      <c r="A120" s="1" t="s">
        <v>316</v>
      </c>
      <c r="B120" s="1" t="s">
        <v>317</v>
      </c>
      <c r="D120" s="8" t="s">
        <v>317</v>
      </c>
      <c r="E120" s="5">
        <v>0.77615126417729996</v>
      </c>
      <c r="F120" s="5">
        <v>0.85915728450170703</v>
      </c>
      <c r="G120" s="5">
        <v>1.4512303627600101</v>
      </c>
      <c r="H120" s="5">
        <f t="shared" si="1"/>
        <v>1.0288463038130056</v>
      </c>
      <c r="I120" s="6">
        <v>1.7854339687523E-4</v>
      </c>
      <c r="J120" s="6">
        <v>3.7917345816232803E-5</v>
      </c>
      <c r="K120" s="9">
        <v>6.33208526803061E-12</v>
      </c>
    </row>
    <row r="121" spans="1:11">
      <c r="A121" s="1" t="s">
        <v>646</v>
      </c>
      <c r="B121" s="1" t="s">
        <v>647</v>
      </c>
      <c r="D121" s="8" t="s">
        <v>647</v>
      </c>
      <c r="E121" s="5">
        <v>0.84974976152638504</v>
      </c>
      <c r="F121" s="5">
        <v>0.81913619538341598</v>
      </c>
      <c r="G121" s="5">
        <v>1.38743135553078</v>
      </c>
      <c r="H121" s="5">
        <f t="shared" si="1"/>
        <v>1.0187724374801936</v>
      </c>
      <c r="I121" s="6">
        <v>4.9696764954792997E-5</v>
      </c>
      <c r="J121" s="6">
        <v>1.4427598117232101E-4</v>
      </c>
      <c r="K121" s="9">
        <v>4.0971651601339902E-11</v>
      </c>
    </row>
    <row r="122" spans="1:11">
      <c r="A122" s="1" t="s">
        <v>76</v>
      </c>
      <c r="B122" s="1" t="s">
        <v>77</v>
      </c>
      <c r="D122" s="8" t="s">
        <v>77</v>
      </c>
      <c r="E122" s="5">
        <v>1.26481468015363</v>
      </c>
      <c r="F122" s="5">
        <v>0.64697460731181999</v>
      </c>
      <c r="G122" s="5">
        <v>1.13862359255176</v>
      </c>
      <c r="H122" s="5">
        <f t="shared" si="1"/>
        <v>1.01680429333907</v>
      </c>
      <c r="I122" s="6">
        <v>5.2152943448910201E-9</v>
      </c>
      <c r="J122" s="6">
        <v>3.5347171223358799E-3</v>
      </c>
      <c r="K122" s="9">
        <v>2.5632361844760901E-7</v>
      </c>
    </row>
    <row r="123" spans="1:11">
      <c r="A123" s="1" t="s">
        <v>640</v>
      </c>
      <c r="B123" s="1" t="s">
        <v>641</v>
      </c>
      <c r="D123" s="8" t="s">
        <v>641</v>
      </c>
      <c r="E123" s="5">
        <v>0.91498342877865502</v>
      </c>
      <c r="F123" s="5">
        <v>0.83820051895917702</v>
      </c>
      <c r="G123" s="5">
        <v>1.2968299357941999</v>
      </c>
      <c r="H123" s="5">
        <f t="shared" si="1"/>
        <v>1.0166712945106775</v>
      </c>
      <c r="I123" s="6">
        <v>9.1743395363412906E-6</v>
      </c>
      <c r="J123" s="6">
        <v>4.9188574026378999E-5</v>
      </c>
      <c r="K123" s="9">
        <v>4.4122363691813202E-10</v>
      </c>
    </row>
    <row r="124" spans="1:11">
      <c r="A124" s="1" t="s">
        <v>124</v>
      </c>
      <c r="B124" s="1" t="s">
        <v>125</v>
      </c>
      <c r="D124" s="8" t="s">
        <v>125</v>
      </c>
      <c r="E124" s="5">
        <v>0.77043462181130495</v>
      </c>
      <c r="F124" s="5">
        <v>0.88401995539533695</v>
      </c>
      <c r="G124" s="5">
        <v>1.3894652377385801</v>
      </c>
      <c r="H124" s="5">
        <f t="shared" si="1"/>
        <v>1.0146399383150742</v>
      </c>
      <c r="I124" s="6">
        <v>2.14235975839655E-4</v>
      </c>
      <c r="J124" s="6">
        <v>3.2991627581859503E-5</v>
      </c>
      <c r="K124" s="9">
        <v>5.1168243440953903E-11</v>
      </c>
    </row>
    <row r="125" spans="1:11">
      <c r="A125" s="1" t="s">
        <v>82</v>
      </c>
      <c r="B125" s="1" t="s">
        <v>83</v>
      </c>
      <c r="D125" s="8" t="s">
        <v>83</v>
      </c>
      <c r="E125" s="5">
        <v>0.74950292974877497</v>
      </c>
      <c r="F125" s="5">
        <v>0.71449833916491301</v>
      </c>
      <c r="G125" s="5">
        <v>1.5212440662800699</v>
      </c>
      <c r="H125" s="5">
        <f t="shared" si="1"/>
        <v>0.99508177839791934</v>
      </c>
      <c r="I125" s="6">
        <v>2.72456198109523E-4</v>
      </c>
      <c r="J125" s="6">
        <v>5.4361157650147595E-4</v>
      </c>
      <c r="K125" s="9">
        <v>4.0053328056589102E-13</v>
      </c>
    </row>
    <row r="126" spans="1:11">
      <c r="A126" s="1" t="s">
        <v>154</v>
      </c>
      <c r="B126" s="1" t="s">
        <v>155</v>
      </c>
      <c r="D126" s="8" t="s">
        <v>155</v>
      </c>
      <c r="E126" s="5">
        <v>1.29034506714066</v>
      </c>
      <c r="F126" s="5">
        <v>-1.1473020258122899</v>
      </c>
      <c r="G126" s="5">
        <v>2.8386555809090099</v>
      </c>
      <c r="H126" s="5">
        <f t="shared" si="1"/>
        <v>0.99389954074579334</v>
      </c>
      <c r="I126" s="6">
        <v>5.8648868831734502E-8</v>
      </c>
      <c r="J126" s="6">
        <v>1.14166439938428E-7</v>
      </c>
      <c r="K126" s="9">
        <v>1.5501136489353001E-7</v>
      </c>
    </row>
    <row r="127" spans="1:11">
      <c r="A127" s="1" t="s">
        <v>290</v>
      </c>
      <c r="B127" s="1" t="s">
        <v>291</v>
      </c>
      <c r="D127" s="8" t="s">
        <v>291</v>
      </c>
      <c r="E127" s="5">
        <v>0.94325087744105496</v>
      </c>
      <c r="F127" s="5">
        <v>0.87306492313581796</v>
      </c>
      <c r="G127" s="5">
        <v>1.1444939394643801</v>
      </c>
      <c r="H127" s="5">
        <f t="shared" si="1"/>
        <v>0.98693658001375095</v>
      </c>
      <c r="I127" s="6">
        <v>6.5234712974485097E-6</v>
      </c>
      <c r="J127" s="6">
        <v>5.3155694183908099E-5</v>
      </c>
      <c r="K127" s="9">
        <v>5.0381243806901599E-8</v>
      </c>
    </row>
    <row r="128" spans="1:11">
      <c r="A128" s="1" t="s">
        <v>280</v>
      </c>
      <c r="B128" s="1" t="s">
        <v>281</v>
      </c>
      <c r="D128" s="8" t="s">
        <v>281</v>
      </c>
      <c r="E128" s="5">
        <v>1.02804145344798</v>
      </c>
      <c r="F128" s="5">
        <v>0.76703680248643402</v>
      </c>
      <c r="G128" s="5">
        <v>1.1436390607342699</v>
      </c>
      <c r="H128" s="5">
        <f t="shared" si="1"/>
        <v>0.97957243888956125</v>
      </c>
      <c r="I128" s="6">
        <v>2.18501285881897E-6</v>
      </c>
      <c r="J128" s="6">
        <v>3.3397347612371402E-4</v>
      </c>
      <c r="K128" s="9">
        <v>2.1614306762235699E-7</v>
      </c>
    </row>
    <row r="129" spans="1:11">
      <c r="A129" s="1" t="s">
        <v>444</v>
      </c>
      <c r="B129" s="1" t="s">
        <v>445</v>
      </c>
      <c r="D129" s="8" t="s">
        <v>445</v>
      </c>
      <c r="E129" s="5">
        <v>1.0708355700657299</v>
      </c>
      <c r="F129" s="5">
        <v>0.942782051562149</v>
      </c>
      <c r="G129" s="5">
        <v>0.92280465955173197</v>
      </c>
      <c r="H129" s="5">
        <f t="shared" si="1"/>
        <v>0.97880742705987034</v>
      </c>
      <c r="I129" s="6">
        <v>4.5219374625741999E-7</v>
      </c>
      <c r="J129" s="6">
        <v>1.12583719789106E-5</v>
      </c>
      <c r="K129" s="9">
        <v>2.2869215348645099E-5</v>
      </c>
    </row>
    <row r="130" spans="1:11">
      <c r="A130" s="1" t="s">
        <v>642</v>
      </c>
      <c r="B130" s="1" t="s">
        <v>643</v>
      </c>
      <c r="D130" s="8" t="s">
        <v>643</v>
      </c>
      <c r="E130" s="5">
        <v>0.83502326539124405</v>
      </c>
      <c r="F130" s="5">
        <v>0.47394347612459897</v>
      </c>
      <c r="G130" s="5">
        <v>1.5954207954211601</v>
      </c>
      <c r="H130" s="5">
        <f t="shared" ref="H130:H193" si="2">AVERAGE(E130:G130)</f>
        <v>0.96812917897900108</v>
      </c>
      <c r="I130" s="6">
        <v>9.9329996489500803E-5</v>
      </c>
      <c r="J130" s="6">
        <v>2.6942772015154999E-2</v>
      </c>
      <c r="K130" s="9">
        <v>1.2808846635241099E-12</v>
      </c>
    </row>
    <row r="131" spans="1:11">
      <c r="A131" s="1" t="s">
        <v>18</v>
      </c>
      <c r="B131" s="1" t="s">
        <v>19</v>
      </c>
      <c r="D131" s="8" t="s">
        <v>19</v>
      </c>
      <c r="E131" s="5">
        <v>1.0490790710529001</v>
      </c>
      <c r="F131" s="5">
        <v>0.70108377274363998</v>
      </c>
      <c r="G131" s="5">
        <v>1.1324405942981399</v>
      </c>
      <c r="H131" s="5">
        <f t="shared" si="2"/>
        <v>0.96086781269822674</v>
      </c>
      <c r="I131" s="6">
        <v>4.7484632672916599E-7</v>
      </c>
      <c r="J131" s="6">
        <v>9.2293752757780997E-4</v>
      </c>
      <c r="K131" s="9">
        <v>6.7286195546702398E-8</v>
      </c>
    </row>
    <row r="132" spans="1:11">
      <c r="A132" s="1" t="s">
        <v>408</v>
      </c>
      <c r="B132" s="1" t="s">
        <v>409</v>
      </c>
      <c r="D132" s="8" t="s">
        <v>409</v>
      </c>
      <c r="E132" s="5">
        <v>1.5961204860701701</v>
      </c>
      <c r="F132" s="5">
        <v>0.482195421098778</v>
      </c>
      <c r="G132" s="5">
        <v>0.80237089752507096</v>
      </c>
      <c r="H132" s="5">
        <f t="shared" si="2"/>
        <v>0.96022893489800631</v>
      </c>
      <c r="I132" s="6">
        <v>6.26915724421899E-14</v>
      </c>
      <c r="J132" s="6">
        <v>2.24274818357473E-2</v>
      </c>
      <c r="K132" s="9">
        <v>2.8904744758715702E-4</v>
      </c>
    </row>
    <row r="133" spans="1:11">
      <c r="A133" s="1" t="s">
        <v>458</v>
      </c>
      <c r="B133" s="1" t="s">
        <v>459</v>
      </c>
      <c r="D133" s="8" t="s">
        <v>459</v>
      </c>
      <c r="E133" s="5">
        <v>1.31581764900669</v>
      </c>
      <c r="F133" s="5">
        <v>0.54196566607351404</v>
      </c>
      <c r="G133" s="5">
        <v>1.0134659791182601</v>
      </c>
      <c r="H133" s="5">
        <f t="shared" si="2"/>
        <v>0.95708309806615477</v>
      </c>
      <c r="I133" s="6">
        <v>2.8404554062482101E-10</v>
      </c>
      <c r="J133" s="6">
        <v>8.9835545119849591E-3</v>
      </c>
      <c r="K133" s="9">
        <v>1.0742960490869901E-6</v>
      </c>
    </row>
    <row r="134" spans="1:11">
      <c r="A134" s="1" t="s">
        <v>334</v>
      </c>
      <c r="B134" s="1" t="s">
        <v>335</v>
      </c>
      <c r="D134" s="8" t="s">
        <v>335</v>
      </c>
      <c r="E134" s="5">
        <v>1.08125788043271</v>
      </c>
      <c r="F134" s="5">
        <v>0.64217790921393703</v>
      </c>
      <c r="G134" s="5">
        <v>1.10901488718071</v>
      </c>
      <c r="H134" s="5">
        <f t="shared" si="2"/>
        <v>0.94415022560911899</v>
      </c>
      <c r="I134" s="6">
        <v>1.97852161417927E-7</v>
      </c>
      <c r="J134" s="6">
        <v>1.9894000184873901E-3</v>
      </c>
      <c r="K134" s="9">
        <v>9.9534594697645697E-8</v>
      </c>
    </row>
    <row r="135" spans="1:11">
      <c r="A135" s="1" t="s">
        <v>598</v>
      </c>
      <c r="B135" s="1" t="s">
        <v>599</v>
      </c>
      <c r="D135" s="8" t="s">
        <v>599</v>
      </c>
      <c r="E135" s="5">
        <v>1.09145361423359</v>
      </c>
      <c r="F135" s="5">
        <v>0.59933881641082998</v>
      </c>
      <c r="G135" s="5">
        <v>1.1272216514254201</v>
      </c>
      <c r="H135" s="5">
        <f t="shared" si="2"/>
        <v>0.93933802735661331</v>
      </c>
      <c r="I135" s="6">
        <v>2.6471440490119603E-7</v>
      </c>
      <c r="J135" s="6">
        <v>4.5503562892107302E-3</v>
      </c>
      <c r="K135" s="9">
        <v>2.6928299795066399E-7</v>
      </c>
    </row>
    <row r="136" spans="1:11">
      <c r="A136" s="1" t="s">
        <v>406</v>
      </c>
      <c r="B136" s="1" t="s">
        <v>407</v>
      </c>
      <c r="D136" s="8" t="s">
        <v>407</v>
      </c>
      <c r="E136" s="5">
        <v>0.84978900622037901</v>
      </c>
      <c r="F136" s="5">
        <v>1.0447730810448601</v>
      </c>
      <c r="G136" s="5">
        <v>0.89570705636926096</v>
      </c>
      <c r="H136" s="5">
        <f t="shared" si="2"/>
        <v>0.93008971454483336</v>
      </c>
      <c r="I136" s="6">
        <v>4.6688513086796599E-5</v>
      </c>
      <c r="J136" s="6">
        <v>6.5631195808626304E-7</v>
      </c>
      <c r="K136" s="9">
        <v>1.74511585050364E-5</v>
      </c>
    </row>
    <row r="137" spans="1:11">
      <c r="A137" s="1" t="s">
        <v>689</v>
      </c>
      <c r="B137" s="1" t="s">
        <v>690</v>
      </c>
      <c r="D137" s="8" t="s">
        <v>690</v>
      </c>
      <c r="E137" s="5">
        <v>1.1305194656761699</v>
      </c>
      <c r="F137" s="5">
        <v>0.59504455476088403</v>
      </c>
      <c r="G137" s="5">
        <v>1.05001546798836</v>
      </c>
      <c r="H137" s="5">
        <f t="shared" si="2"/>
        <v>0.9251931628084713</v>
      </c>
      <c r="I137" s="6">
        <v>8.9062103634670601E-7</v>
      </c>
      <c r="J137" s="6">
        <v>1.10889123817979E-2</v>
      </c>
      <c r="K137" s="9">
        <v>1.95185776489933E-5</v>
      </c>
    </row>
    <row r="138" spans="1:11">
      <c r="A138" s="1" t="s">
        <v>428</v>
      </c>
      <c r="B138" s="1" t="s">
        <v>429</v>
      </c>
      <c r="D138" s="8" t="s">
        <v>429</v>
      </c>
      <c r="E138" s="5">
        <v>1.09362484671454</v>
      </c>
      <c r="F138" s="5">
        <v>0.87717050304694599</v>
      </c>
      <c r="G138" s="5">
        <v>0.79923978767582204</v>
      </c>
      <c r="H138" s="5">
        <f t="shared" si="2"/>
        <v>0.92334504581243593</v>
      </c>
      <c r="I138" s="6">
        <v>1.3784804557609801E-7</v>
      </c>
      <c r="J138" s="6">
        <v>2.2972019316154399E-5</v>
      </c>
      <c r="K138" s="9">
        <v>1.15178116348521E-4</v>
      </c>
    </row>
    <row r="139" spans="1:11">
      <c r="A139" s="1" t="s">
        <v>332</v>
      </c>
      <c r="B139" s="1" t="s">
        <v>333</v>
      </c>
      <c r="D139" s="8" t="s">
        <v>333</v>
      </c>
      <c r="E139" s="5">
        <v>1.1729031857208101</v>
      </c>
      <c r="F139" s="5">
        <v>0.82003778407727501</v>
      </c>
      <c r="G139" s="5">
        <v>0.76056128792750999</v>
      </c>
      <c r="H139" s="5">
        <f t="shared" si="2"/>
        <v>0.91783408590853177</v>
      </c>
      <c r="I139" s="6">
        <v>5.6651803474971399E-8</v>
      </c>
      <c r="J139" s="6">
        <v>1.95103955818847E-4</v>
      </c>
      <c r="K139" s="9">
        <v>6.2343670033574805E-4</v>
      </c>
    </row>
    <row r="140" spans="1:11">
      <c r="A140" s="1" t="s">
        <v>144</v>
      </c>
      <c r="B140" s="1" t="s">
        <v>145</v>
      </c>
      <c r="D140" s="8" t="s">
        <v>145</v>
      </c>
      <c r="E140" s="5">
        <v>1.2818290652021</v>
      </c>
      <c r="F140" s="5">
        <v>0.69409758031579705</v>
      </c>
      <c r="G140" s="5">
        <v>0.77122750379209304</v>
      </c>
      <c r="H140" s="5">
        <f t="shared" si="2"/>
        <v>0.91571804976999671</v>
      </c>
      <c r="I140" s="6">
        <v>1.1367589493557401E-8</v>
      </c>
      <c r="J140" s="6">
        <v>2.56033365052685E-3</v>
      </c>
      <c r="K140" s="9">
        <v>7.2473674652684405E-4</v>
      </c>
    </row>
    <row r="141" spans="1:11">
      <c r="A141" s="1" t="s">
        <v>542</v>
      </c>
      <c r="B141" s="1" t="s">
        <v>543</v>
      </c>
      <c r="D141" s="8" t="s">
        <v>543</v>
      </c>
      <c r="E141" s="5">
        <v>0.77894389167151601</v>
      </c>
      <c r="F141" s="5">
        <v>0.55859056432703802</v>
      </c>
      <c r="G141" s="5">
        <v>1.3906291854247701</v>
      </c>
      <c r="H141" s="5">
        <f t="shared" si="2"/>
        <v>0.90938788047444141</v>
      </c>
      <c r="I141" s="6">
        <v>1.6109810030232001E-4</v>
      </c>
      <c r="J141" s="6">
        <v>6.7878408212501797E-3</v>
      </c>
      <c r="K141" s="9">
        <v>2.8362870106182999E-11</v>
      </c>
    </row>
    <row r="142" spans="1:11">
      <c r="A142" s="1" t="s">
        <v>330</v>
      </c>
      <c r="B142" s="1" t="s">
        <v>331</v>
      </c>
      <c r="D142" s="8" t="s">
        <v>331</v>
      </c>
      <c r="E142" s="5">
        <v>0.80170960639799205</v>
      </c>
      <c r="F142" s="5">
        <v>0.88720752927313296</v>
      </c>
      <c r="G142" s="5">
        <v>0.99457708538921696</v>
      </c>
      <c r="H142" s="5">
        <f t="shared" si="2"/>
        <v>0.89449807368678069</v>
      </c>
      <c r="I142" s="6">
        <v>1.0582437229137399E-4</v>
      </c>
      <c r="J142" s="6">
        <v>2.06005791165497E-5</v>
      </c>
      <c r="K142" s="9">
        <v>1.9953060109828299E-6</v>
      </c>
    </row>
    <row r="143" spans="1:11">
      <c r="A143" s="1" t="s">
        <v>398</v>
      </c>
      <c r="B143" s="1" t="s">
        <v>399</v>
      </c>
      <c r="D143" s="8" t="s">
        <v>399</v>
      </c>
      <c r="E143" s="5">
        <v>0.96816616673220901</v>
      </c>
      <c r="F143" s="5">
        <v>1.0647230880854299</v>
      </c>
      <c r="G143" s="5">
        <v>0.638276214296011</v>
      </c>
      <c r="H143" s="5">
        <f t="shared" si="2"/>
        <v>0.89038848970454998</v>
      </c>
      <c r="I143" s="6">
        <v>7.8950671046602699E-6</v>
      </c>
      <c r="J143" s="6">
        <v>1.2147623781226901E-6</v>
      </c>
      <c r="K143" s="9">
        <v>4.0641435434543302E-3</v>
      </c>
    </row>
    <row r="144" spans="1:11">
      <c r="A144" s="1" t="s">
        <v>204</v>
      </c>
      <c r="B144" s="1" t="s">
        <v>205</v>
      </c>
      <c r="D144" s="8" t="s">
        <v>205</v>
      </c>
      <c r="E144" s="5">
        <v>0.839899520590632</v>
      </c>
      <c r="F144" s="5">
        <v>0.98603537896718096</v>
      </c>
      <c r="G144" s="5">
        <v>0.84501209793564402</v>
      </c>
      <c r="H144" s="5">
        <f t="shared" si="2"/>
        <v>0.89031566583115229</v>
      </c>
      <c r="I144" s="6">
        <v>5.74846860327687E-5</v>
      </c>
      <c r="J144" s="6">
        <v>2.4583444381128098E-6</v>
      </c>
      <c r="K144" s="9">
        <v>5.5523837280615198E-5</v>
      </c>
    </row>
    <row r="145" spans="1:11">
      <c r="A145" s="1" t="s">
        <v>70</v>
      </c>
      <c r="B145" s="1" t="s">
        <v>71</v>
      </c>
      <c r="D145" s="8" t="s">
        <v>71</v>
      </c>
      <c r="E145" s="5">
        <v>0.88799883912009903</v>
      </c>
      <c r="F145" s="5">
        <v>0.84428027795316196</v>
      </c>
      <c r="G145" s="5">
        <v>0.91819591225111996</v>
      </c>
      <c r="H145" s="5">
        <f t="shared" si="2"/>
        <v>0.88349167644146032</v>
      </c>
      <c r="I145" s="6">
        <v>6.7324631428304697E-5</v>
      </c>
      <c r="J145" s="6">
        <v>1.2127026035936101E-4</v>
      </c>
      <c r="K145" s="9">
        <v>1.3916256475478899E-4</v>
      </c>
    </row>
    <row r="146" spans="1:11">
      <c r="A146" s="1" t="s">
        <v>492</v>
      </c>
      <c r="B146" s="1" t="s">
        <v>493</v>
      </c>
      <c r="D146" s="8" t="s">
        <v>493</v>
      </c>
      <c r="E146" s="5">
        <v>1.0654581780977199</v>
      </c>
      <c r="F146" s="5">
        <v>0.72002599993101202</v>
      </c>
      <c r="G146" s="5">
        <v>0.859799536720113</v>
      </c>
      <c r="H146" s="5">
        <f t="shared" si="2"/>
        <v>0.88176123824961505</v>
      </c>
      <c r="I146" s="6">
        <v>3.3601630432753499E-7</v>
      </c>
      <c r="J146" s="6">
        <v>5.56240569593492E-4</v>
      </c>
      <c r="K146" s="9">
        <v>3.4880449287269597E-5</v>
      </c>
    </row>
    <row r="147" spans="1:11">
      <c r="A147" s="1" t="s">
        <v>610</v>
      </c>
      <c r="B147" s="1" t="s">
        <v>611</v>
      </c>
      <c r="D147" s="8" t="s">
        <v>611</v>
      </c>
      <c r="E147" s="5">
        <v>1.0732210126581101</v>
      </c>
      <c r="F147" s="5">
        <v>0.55022106253616798</v>
      </c>
      <c r="G147" s="5">
        <v>0.92089860418548597</v>
      </c>
      <c r="H147" s="5">
        <f t="shared" si="2"/>
        <v>0.84811355979325465</v>
      </c>
      <c r="I147" s="6">
        <v>4.32341496185546E-7</v>
      </c>
      <c r="J147" s="6">
        <v>1.22439106571246E-2</v>
      </c>
      <c r="K147" s="9">
        <v>1.5508680130291199E-5</v>
      </c>
    </row>
    <row r="148" spans="1:11">
      <c r="A148" s="1" t="s">
        <v>338</v>
      </c>
      <c r="B148" s="1" t="s">
        <v>339</v>
      </c>
      <c r="D148" s="8" t="s">
        <v>339</v>
      </c>
      <c r="E148" s="5">
        <v>0.91836730405377398</v>
      </c>
      <c r="F148" s="5">
        <v>0.69536813427013699</v>
      </c>
      <c r="G148" s="5">
        <v>0.89562657938835899</v>
      </c>
      <c r="H148" s="5">
        <f t="shared" si="2"/>
        <v>0.83645400590409003</v>
      </c>
      <c r="I148" s="6">
        <v>7.7385580541441205E-5</v>
      </c>
      <c r="J148" s="6">
        <v>9.0682403417730699E-3</v>
      </c>
      <c r="K148" s="9">
        <v>1.088700564171E-4</v>
      </c>
    </row>
    <row r="149" spans="1:11">
      <c r="A149" s="1" t="s">
        <v>54</v>
      </c>
      <c r="B149" s="1" t="s">
        <v>55</v>
      </c>
      <c r="D149" s="8" t="s">
        <v>55</v>
      </c>
      <c r="E149" s="5">
        <v>0.90528913976491399</v>
      </c>
      <c r="F149" s="5">
        <v>-0.55429716609407498</v>
      </c>
      <c r="G149" s="5">
        <v>2.1521872947560299</v>
      </c>
      <c r="H149" s="5">
        <f t="shared" si="2"/>
        <v>0.83439308947562296</v>
      </c>
      <c r="I149" s="6">
        <v>7.5289429246036804E-5</v>
      </c>
      <c r="J149" s="6">
        <v>1.43936400373219E-2</v>
      </c>
      <c r="K149" s="9">
        <v>1.46039253374952E-20</v>
      </c>
    </row>
    <row r="150" spans="1:11">
      <c r="A150" s="1" t="s">
        <v>424</v>
      </c>
      <c r="B150" s="1" t="s">
        <v>425</v>
      </c>
      <c r="D150" s="8" t="s">
        <v>425</v>
      </c>
      <c r="E150" s="5">
        <v>0.88160323451999101</v>
      </c>
      <c r="F150" s="5">
        <v>0.68543565427487896</v>
      </c>
      <c r="G150" s="5">
        <v>0.88203305929991804</v>
      </c>
      <c r="H150" s="5">
        <f t="shared" si="2"/>
        <v>0.816357316031596</v>
      </c>
      <c r="I150" s="6">
        <v>2.9523320786823799E-5</v>
      </c>
      <c r="J150" s="6">
        <v>1.3098906427246499E-3</v>
      </c>
      <c r="K150" s="9">
        <v>2.5615380611822198E-5</v>
      </c>
    </row>
    <row r="151" spans="1:11">
      <c r="A151" s="1" t="s">
        <v>632</v>
      </c>
      <c r="B151" s="1" t="s">
        <v>633</v>
      </c>
      <c r="D151" s="8" t="s">
        <v>633</v>
      </c>
      <c r="E151" s="5">
        <v>0.84501911363863103</v>
      </c>
      <c r="F151" s="5">
        <v>0.64693600882078806</v>
      </c>
      <c r="G151" s="5">
        <v>0.94214910562237397</v>
      </c>
      <c r="H151" s="5">
        <f t="shared" si="2"/>
        <v>0.81136807602726435</v>
      </c>
      <c r="I151" s="6">
        <v>5.5572388306823798E-5</v>
      </c>
      <c r="J151" s="6">
        <v>2.3207819851448399E-3</v>
      </c>
      <c r="K151" s="9">
        <v>8.7795557263630395E-6</v>
      </c>
    </row>
    <row r="152" spans="1:11">
      <c r="A152" s="1" t="s">
        <v>416</v>
      </c>
      <c r="B152" s="1" t="s">
        <v>417</v>
      </c>
      <c r="D152" s="8" t="s">
        <v>417</v>
      </c>
      <c r="E152" s="5">
        <v>0.82383559227377301</v>
      </c>
      <c r="F152" s="5">
        <v>0.69317081174152095</v>
      </c>
      <c r="G152" s="5">
        <v>0.83493570467723099</v>
      </c>
      <c r="H152" s="5">
        <f t="shared" si="2"/>
        <v>0.78398070289750832</v>
      </c>
      <c r="I152" s="6">
        <v>1.5836840522789799E-4</v>
      </c>
      <c r="J152" s="6">
        <v>1.1562198638436401E-3</v>
      </c>
      <c r="K152" s="9">
        <v>6.5605024371766899E-5</v>
      </c>
    </row>
    <row r="153" spans="1:11">
      <c r="A153" s="1" t="s">
        <v>328</v>
      </c>
      <c r="B153" s="1" t="s">
        <v>329</v>
      </c>
      <c r="D153" s="8" t="s">
        <v>329</v>
      </c>
      <c r="E153" s="5">
        <v>0.76882996192375797</v>
      </c>
      <c r="F153" s="5">
        <v>0.98904681102395897</v>
      </c>
      <c r="G153" s="5">
        <v>0.50342016508601195</v>
      </c>
      <c r="H153" s="5">
        <f t="shared" si="2"/>
        <v>0.75376564601124285</v>
      </c>
      <c r="I153" s="6">
        <v>2.9961321857634898E-4</v>
      </c>
      <c r="J153" s="6">
        <v>7.2329377800610203E-6</v>
      </c>
      <c r="K153" s="9">
        <v>1.9030190859618299E-2</v>
      </c>
    </row>
    <row r="154" spans="1:11">
      <c r="A154" s="1" t="s">
        <v>202</v>
      </c>
      <c r="B154" s="1" t="s">
        <v>203</v>
      </c>
      <c r="D154" s="8" t="s">
        <v>203</v>
      </c>
      <c r="E154" s="5">
        <v>0.97686187430414895</v>
      </c>
      <c r="F154" s="5">
        <v>0.48758651604271702</v>
      </c>
      <c r="G154" s="5">
        <v>0.74236238485447503</v>
      </c>
      <c r="H154" s="5">
        <f t="shared" si="2"/>
        <v>0.73560359173378032</v>
      </c>
      <c r="I154" s="6">
        <v>2.76483466429342E-6</v>
      </c>
      <c r="J154" s="6">
        <v>2.0490359623854201E-2</v>
      </c>
      <c r="K154" s="9">
        <v>3.49572646736858E-4</v>
      </c>
    </row>
    <row r="155" spans="1:11">
      <c r="A155" s="1" t="s">
        <v>32</v>
      </c>
      <c r="B155" s="1" t="s">
        <v>33</v>
      </c>
      <c r="D155" s="8" t="s">
        <v>33</v>
      </c>
      <c r="E155" s="5">
        <v>0.80771131985406996</v>
      </c>
      <c r="F155" s="5">
        <v>0.90690782384249302</v>
      </c>
      <c r="G155" s="5">
        <v>0.49059395163015301</v>
      </c>
      <c r="H155" s="5">
        <f t="shared" si="2"/>
        <v>0.73507103177557198</v>
      </c>
      <c r="I155" s="6">
        <v>1.04733444799154E-4</v>
      </c>
      <c r="J155" s="6">
        <v>1.5404342514474801E-5</v>
      </c>
      <c r="K155" s="9">
        <v>1.7788870915091098E-2</v>
      </c>
    </row>
    <row r="156" spans="1:11">
      <c r="A156" s="1" t="s">
        <v>38</v>
      </c>
      <c r="B156" s="1" t="s">
        <v>39</v>
      </c>
      <c r="D156" s="8" t="s">
        <v>39</v>
      </c>
      <c r="E156" s="5">
        <v>0.78134169156623201</v>
      </c>
      <c r="F156" s="5">
        <v>0.46826657425086698</v>
      </c>
      <c r="G156" s="5">
        <v>0.95507101449869902</v>
      </c>
      <c r="H156" s="5">
        <f t="shared" si="2"/>
        <v>0.73489309343859943</v>
      </c>
      <c r="I156" s="6">
        <v>1.67630721684775E-4</v>
      </c>
      <c r="J156" s="6">
        <v>2.42685117350715E-2</v>
      </c>
      <c r="K156" s="9">
        <v>8.52864546001143E-6</v>
      </c>
    </row>
    <row r="157" spans="1:11">
      <c r="A157" s="1" t="s">
        <v>400</v>
      </c>
      <c r="B157" s="1" t="s">
        <v>401</v>
      </c>
      <c r="D157" s="8" t="s">
        <v>401</v>
      </c>
      <c r="E157" s="5">
        <v>0.79338060839448099</v>
      </c>
      <c r="F157" s="5">
        <v>0.72328320169169402</v>
      </c>
      <c r="G157" s="5">
        <v>0.61904975414855901</v>
      </c>
      <c r="H157" s="5">
        <f t="shared" si="2"/>
        <v>0.71190452141157801</v>
      </c>
      <c r="I157" s="6">
        <v>1.55112601219447E-4</v>
      </c>
      <c r="J157" s="6">
        <v>8.5986664905624195E-4</v>
      </c>
      <c r="K157" s="9">
        <v>3.2714618028370098E-3</v>
      </c>
    </row>
    <row r="158" spans="1:11">
      <c r="A158" s="1" t="s">
        <v>438</v>
      </c>
      <c r="B158" s="1" t="s">
        <v>439</v>
      </c>
      <c r="D158" s="8" t="s">
        <v>439</v>
      </c>
      <c r="E158" s="5">
        <v>0.74851826436319802</v>
      </c>
      <c r="F158" s="5">
        <v>0.47200427045950499</v>
      </c>
      <c r="G158" s="5">
        <v>0.90399915027725297</v>
      </c>
      <c r="H158" s="5">
        <f t="shared" si="2"/>
        <v>0.70817389503331862</v>
      </c>
      <c r="I158" s="6">
        <v>3.42347266186757E-4</v>
      </c>
      <c r="J158" s="6">
        <v>2.31402899167126E-2</v>
      </c>
      <c r="K158" s="9">
        <v>1.6622144660298701E-5</v>
      </c>
    </row>
    <row r="159" spans="1:11">
      <c r="A159" s="1" t="s">
        <v>288</v>
      </c>
      <c r="B159" s="1" t="s">
        <v>289</v>
      </c>
      <c r="D159" s="8" t="s">
        <v>289</v>
      </c>
      <c r="E159" s="5">
        <v>0.88149845509909897</v>
      </c>
      <c r="F159" s="5">
        <v>0.476237177104815</v>
      </c>
      <c r="G159" s="5">
        <v>0.76667021831118298</v>
      </c>
      <c r="H159" s="5">
        <f t="shared" si="2"/>
        <v>0.7081352835050323</v>
      </c>
      <c r="I159" s="6">
        <v>2.7597076024990801E-5</v>
      </c>
      <c r="J159" s="6">
        <v>2.6392359114209198E-2</v>
      </c>
      <c r="K159" s="9">
        <v>3.2408043144352899E-4</v>
      </c>
    </row>
    <row r="160" spans="1:11">
      <c r="A160" s="1" t="s">
        <v>470</v>
      </c>
      <c r="B160" s="1" t="s">
        <v>471</v>
      </c>
      <c r="D160" s="8" t="s">
        <v>471</v>
      </c>
      <c r="E160" s="5">
        <v>0.77661737164115296</v>
      </c>
      <c r="F160" s="5">
        <v>0.73344479407409002</v>
      </c>
      <c r="G160" s="5">
        <v>0.55689546391367195</v>
      </c>
      <c r="H160" s="5">
        <f t="shared" si="2"/>
        <v>0.68898587654297161</v>
      </c>
      <c r="I160" s="6">
        <v>2.5371174946721198E-4</v>
      </c>
      <c r="J160" s="6">
        <v>4.40731371198535E-4</v>
      </c>
      <c r="K160" s="9">
        <v>7.3974178547866302E-3</v>
      </c>
    </row>
    <row r="161" spans="1:11">
      <c r="A161" s="1" t="s">
        <v>350</v>
      </c>
      <c r="B161" s="1" t="s">
        <v>351</v>
      </c>
      <c r="D161" s="8" t="s">
        <v>351</v>
      </c>
      <c r="E161" s="5">
        <v>0.864622366117758</v>
      </c>
      <c r="F161" s="5">
        <v>0.58726050324721901</v>
      </c>
      <c r="G161" s="5">
        <v>0.55029903207309006</v>
      </c>
      <c r="H161" s="5">
        <f t="shared" si="2"/>
        <v>0.66739396714602239</v>
      </c>
      <c r="I161" s="6">
        <v>1.05574475598387E-4</v>
      </c>
      <c r="J161" s="6">
        <v>8.4381801901989295E-3</v>
      </c>
      <c r="K161" s="9">
        <v>1.11257692366406E-2</v>
      </c>
    </row>
    <row r="162" spans="1:11">
      <c r="A162" s="1" t="s">
        <v>450</v>
      </c>
      <c r="B162" s="1" t="s">
        <v>451</v>
      </c>
      <c r="D162" s="8" t="s">
        <v>451</v>
      </c>
      <c r="E162" s="5">
        <v>0.76083793729278004</v>
      </c>
      <c r="F162" s="5">
        <v>0.649789926209969</v>
      </c>
      <c r="G162" s="5">
        <v>0.55006931587823205</v>
      </c>
      <c r="H162" s="5">
        <f t="shared" si="2"/>
        <v>0.65356572646032707</v>
      </c>
      <c r="I162" s="6">
        <v>2.63865345741585E-4</v>
      </c>
      <c r="J162" s="6">
        <v>1.8696006914823799E-3</v>
      </c>
      <c r="K162" s="9">
        <v>8.2720334546065293E-3</v>
      </c>
    </row>
    <row r="163" spans="1:11">
      <c r="A163" s="1" t="s">
        <v>662</v>
      </c>
      <c r="B163" s="1" t="s">
        <v>663</v>
      </c>
      <c r="D163" s="8" t="s">
        <v>663</v>
      </c>
      <c r="E163" s="5">
        <v>1.18752057112959</v>
      </c>
      <c r="F163" s="5">
        <v>-0.65338389704099697</v>
      </c>
      <c r="G163" s="5">
        <v>1.32175993372237</v>
      </c>
      <c r="H163" s="5">
        <f t="shared" si="2"/>
        <v>0.61863220260365426</v>
      </c>
      <c r="I163" s="6">
        <v>1.3614891466659E-8</v>
      </c>
      <c r="J163" s="6">
        <v>1.52391690938052E-3</v>
      </c>
      <c r="K163" s="9">
        <v>3.9035314159034502E-10</v>
      </c>
    </row>
    <row r="164" spans="1:11">
      <c r="A164" s="1" t="s">
        <v>360</v>
      </c>
      <c r="B164" s="1" t="s">
        <v>361</v>
      </c>
      <c r="D164" s="8" t="s">
        <v>361</v>
      </c>
      <c r="E164" s="5">
        <v>0.76083409489793197</v>
      </c>
      <c r="F164" s="5">
        <v>0.47473586218798303</v>
      </c>
      <c r="G164" s="5">
        <v>0.57878435814391405</v>
      </c>
      <c r="H164" s="5">
        <f t="shared" si="2"/>
        <v>0.60478477174327627</v>
      </c>
      <c r="I164" s="6">
        <v>2.2288953018339199E-4</v>
      </c>
      <c r="J164" s="6">
        <v>2.11975407585221E-2</v>
      </c>
      <c r="K164" s="9">
        <v>5.2680194570605297E-3</v>
      </c>
    </row>
    <row r="165" spans="1:11">
      <c r="A165" s="1" t="s">
        <v>660</v>
      </c>
      <c r="B165" s="1" t="s">
        <v>661</v>
      </c>
      <c r="D165" s="8" t="s">
        <v>661</v>
      </c>
      <c r="E165" s="5">
        <v>1.34146572540502</v>
      </c>
      <c r="F165" s="5">
        <v>-0.92653999063474002</v>
      </c>
      <c r="G165" s="5">
        <v>1.1910754526040901</v>
      </c>
      <c r="H165" s="5">
        <f t="shared" si="2"/>
        <v>0.53533372912479005</v>
      </c>
      <c r="I165" s="6">
        <v>7.7202956071350792E-6</v>
      </c>
      <c r="J165" s="6">
        <v>3.72518760872335E-3</v>
      </c>
      <c r="K165" s="9">
        <v>2.1860467660433102E-5</v>
      </c>
    </row>
    <row r="166" spans="1:11">
      <c r="A166" s="1" t="s">
        <v>584</v>
      </c>
      <c r="B166" s="1" t="s">
        <v>585</v>
      </c>
      <c r="D166" s="8" t="s">
        <v>585</v>
      </c>
      <c r="E166" s="5">
        <v>-0.925504378899905</v>
      </c>
      <c r="F166" s="5">
        <v>0.98222530752955395</v>
      </c>
      <c r="G166" s="5">
        <v>0.94955079247896701</v>
      </c>
      <c r="H166" s="5">
        <f t="shared" si="2"/>
        <v>0.33542390703620528</v>
      </c>
      <c r="I166" s="6">
        <v>1.6633007634784899E-5</v>
      </c>
      <c r="J166" s="6">
        <v>6.8431487026659096E-5</v>
      </c>
      <c r="K166" s="9">
        <v>2.3051739537618901E-5</v>
      </c>
    </row>
    <row r="167" spans="1:11">
      <c r="A167" s="1" t="s">
        <v>240</v>
      </c>
      <c r="B167" s="1" t="s">
        <v>241</v>
      </c>
      <c r="D167" s="8" t="s">
        <v>241</v>
      </c>
      <c r="E167" s="5">
        <v>0.95039014923718701</v>
      </c>
      <c r="F167" s="5">
        <v>0.56556239364293304</v>
      </c>
      <c r="G167" s="5">
        <v>-0.96173304682523997</v>
      </c>
      <c r="H167" s="5">
        <f t="shared" si="2"/>
        <v>0.18473983201829333</v>
      </c>
      <c r="I167" s="6">
        <v>1.1915004485151E-5</v>
      </c>
      <c r="J167" s="6">
        <v>1.1592269904066799E-2</v>
      </c>
      <c r="K167" s="9">
        <v>9.4557487472654795E-6</v>
      </c>
    </row>
    <row r="168" spans="1:11">
      <c r="A168" s="1" t="s">
        <v>452</v>
      </c>
      <c r="B168" s="1" t="s">
        <v>453</v>
      </c>
      <c r="D168" s="8" t="s">
        <v>453</v>
      </c>
      <c r="E168" s="5">
        <v>-0.79051805120376695</v>
      </c>
      <c r="F168" s="5">
        <v>0.98773350690334905</v>
      </c>
      <c r="G168" s="5">
        <v>-0.55574093491347598</v>
      </c>
      <c r="H168" s="5">
        <f t="shared" si="2"/>
        <v>-0.11950849307129796</v>
      </c>
      <c r="I168" s="6">
        <v>3.3829425706007602E-4</v>
      </c>
      <c r="J168" s="6">
        <v>4.8529214068173704E-6</v>
      </c>
      <c r="K168" s="9">
        <v>9.1822146087073998E-3</v>
      </c>
    </row>
    <row r="169" spans="1:11">
      <c r="A169" s="1" t="s">
        <v>686</v>
      </c>
      <c r="D169" s="8"/>
      <c r="E169" s="5">
        <v>-1.1814079858662201</v>
      </c>
      <c r="F169" s="5">
        <v>1.28288649983504</v>
      </c>
      <c r="G169" s="5">
        <v>-0.71027626318552195</v>
      </c>
      <c r="H169" s="5">
        <f t="shared" si="2"/>
        <v>-0.20293258307223402</v>
      </c>
      <c r="I169" s="6">
        <v>8.5850493495686603E-5</v>
      </c>
      <c r="J169" s="6">
        <v>6.0774184997289802E-4</v>
      </c>
      <c r="K169" s="9">
        <v>1.9790898375423499E-2</v>
      </c>
    </row>
    <row r="170" spans="1:11">
      <c r="A170" s="1" t="s">
        <v>664</v>
      </c>
      <c r="B170" s="1" t="s">
        <v>665</v>
      </c>
      <c r="D170" s="8" t="s">
        <v>665</v>
      </c>
      <c r="E170" s="5">
        <v>-1.00873600639686</v>
      </c>
      <c r="F170" s="5">
        <v>0.58293581982517095</v>
      </c>
      <c r="G170" s="5">
        <v>-0.74973159302933101</v>
      </c>
      <c r="H170" s="5">
        <f t="shared" si="2"/>
        <v>-0.39184392653367334</v>
      </c>
      <c r="I170" s="6">
        <v>4.2374078946322401E-6</v>
      </c>
      <c r="J170" s="6">
        <v>1.07639911382688E-2</v>
      </c>
      <c r="K170" s="9">
        <v>5.3167788715905199E-4</v>
      </c>
    </row>
    <row r="171" spans="1:11">
      <c r="A171" s="1" t="s">
        <v>64</v>
      </c>
      <c r="B171" s="1" t="s">
        <v>65</v>
      </c>
      <c r="D171" s="8" t="s">
        <v>65</v>
      </c>
      <c r="E171" s="5">
        <v>-1.42177718179912</v>
      </c>
      <c r="F171" s="5">
        <v>-1.15335259555462</v>
      </c>
      <c r="G171" s="5">
        <v>1.3484100221407</v>
      </c>
      <c r="H171" s="5">
        <f t="shared" si="2"/>
        <v>-0.40890658507101335</v>
      </c>
      <c r="I171" s="6">
        <v>2.7010321918379699E-11</v>
      </c>
      <c r="J171" s="6">
        <v>3.57329137510269E-8</v>
      </c>
      <c r="K171" s="9">
        <v>1.9083074825751799E-9</v>
      </c>
    </row>
    <row r="172" spans="1:11">
      <c r="A172" s="1" t="s">
        <v>372</v>
      </c>
      <c r="B172" s="1" t="s">
        <v>373</v>
      </c>
      <c r="D172" s="8" t="s">
        <v>373</v>
      </c>
      <c r="E172" s="5">
        <v>-1.39795584456032</v>
      </c>
      <c r="F172" s="5">
        <v>1.0247820794613201</v>
      </c>
      <c r="G172" s="5">
        <v>-1.1398379831371099</v>
      </c>
      <c r="H172" s="5">
        <f t="shared" si="2"/>
        <v>-0.50433724941203661</v>
      </c>
      <c r="I172" s="6">
        <v>4.5993180581297498E-10</v>
      </c>
      <c r="J172" s="6">
        <v>6.98241600773507E-6</v>
      </c>
      <c r="K172" s="9">
        <v>3.5301553867133003E-7</v>
      </c>
    </row>
    <row r="173" spans="1:11">
      <c r="A173" s="1" t="s">
        <v>676</v>
      </c>
      <c r="B173" s="1" t="s">
        <v>677</v>
      </c>
      <c r="D173" s="8" t="s">
        <v>677</v>
      </c>
      <c r="E173" s="5">
        <v>-0.85265285813445502</v>
      </c>
      <c r="F173" s="5">
        <v>-0.69788496512089604</v>
      </c>
      <c r="G173" s="5">
        <v>-0.59671142068093197</v>
      </c>
      <c r="H173" s="5">
        <f t="shared" si="2"/>
        <v>-0.71574974797876101</v>
      </c>
      <c r="I173" s="6">
        <v>3.3760114065052501E-4</v>
      </c>
      <c r="J173" s="6">
        <v>2.7781277384609998E-3</v>
      </c>
      <c r="K173" s="9">
        <v>8.5690264874873703E-3</v>
      </c>
    </row>
    <row r="174" spans="1:11">
      <c r="A174" s="1" t="s">
        <v>440</v>
      </c>
      <c r="B174" s="1" t="s">
        <v>441</v>
      </c>
      <c r="D174" s="8" t="s">
        <v>441</v>
      </c>
      <c r="E174" s="5">
        <v>-0.84889459988280602</v>
      </c>
      <c r="F174" s="5">
        <v>-0.62184638163062</v>
      </c>
      <c r="G174" s="5">
        <v>-0.69772417795402297</v>
      </c>
      <c r="H174" s="5">
        <f t="shared" si="2"/>
        <v>-0.722821719822483</v>
      </c>
      <c r="I174" s="6">
        <v>1.2652702618424401E-4</v>
      </c>
      <c r="J174" s="6">
        <v>6.63179762404078E-3</v>
      </c>
      <c r="K174" s="9">
        <v>1.5772753562088399E-3</v>
      </c>
    </row>
    <row r="175" spans="1:11">
      <c r="A175" s="1" t="s">
        <v>90</v>
      </c>
      <c r="B175" s="1" t="s">
        <v>91</v>
      </c>
      <c r="D175" s="8" t="s">
        <v>91</v>
      </c>
      <c r="E175" s="5">
        <v>-0.88523401698766102</v>
      </c>
      <c r="F175" s="5">
        <v>-0.56633152105922702</v>
      </c>
      <c r="G175" s="5">
        <v>-0.74991165869989995</v>
      </c>
      <c r="H175" s="5">
        <f t="shared" si="2"/>
        <v>-0.73382573224892933</v>
      </c>
      <c r="I175" s="6">
        <v>5.7602344600112702E-5</v>
      </c>
      <c r="J175" s="6">
        <v>1.2240934895567501E-2</v>
      </c>
      <c r="K175" s="9">
        <v>5.2200852996819901E-4</v>
      </c>
    </row>
    <row r="176" spans="1:11">
      <c r="A176" s="1" t="s">
        <v>578</v>
      </c>
      <c r="B176" s="1" t="s">
        <v>579</v>
      </c>
      <c r="D176" s="8" t="s">
        <v>579</v>
      </c>
      <c r="E176" s="5">
        <v>-0.76800430819250098</v>
      </c>
      <c r="F176" s="5">
        <v>-0.80621190495033002</v>
      </c>
      <c r="G176" s="5">
        <v>-0.67193737561410605</v>
      </c>
      <c r="H176" s="5">
        <f t="shared" si="2"/>
        <v>-0.74871786291897902</v>
      </c>
      <c r="I176" s="6">
        <v>3.3340135671625499E-4</v>
      </c>
      <c r="J176" s="6">
        <v>1.6255595050703901E-4</v>
      </c>
      <c r="K176" s="9">
        <v>1.9175520843981401E-3</v>
      </c>
    </row>
    <row r="177" spans="1:11">
      <c r="A177" s="1" t="s">
        <v>528</v>
      </c>
      <c r="B177" s="1" t="s">
        <v>529</v>
      </c>
      <c r="D177" s="8" t="s">
        <v>529</v>
      </c>
      <c r="E177" s="5">
        <v>-0.99157384004129601</v>
      </c>
      <c r="F177" s="5">
        <v>-0.57472547088361003</v>
      </c>
      <c r="G177" s="5">
        <v>-0.68826273051054798</v>
      </c>
      <c r="H177" s="5">
        <f t="shared" si="2"/>
        <v>-0.75152068047848475</v>
      </c>
      <c r="I177" s="6">
        <v>3.1079823908116299E-6</v>
      </c>
      <c r="J177" s="6">
        <v>7.6829568678289696E-3</v>
      </c>
      <c r="K177" s="9">
        <v>9.6338694550498105E-4</v>
      </c>
    </row>
    <row r="178" spans="1:11">
      <c r="A178" s="1" t="s">
        <v>520</v>
      </c>
      <c r="B178" s="1" t="s">
        <v>521</v>
      </c>
      <c r="D178" s="8" t="s">
        <v>521</v>
      </c>
      <c r="E178" s="5">
        <v>-0.91583911647383798</v>
      </c>
      <c r="F178" s="5">
        <v>-0.83353592682158195</v>
      </c>
      <c r="G178" s="5">
        <v>-0.508365328479777</v>
      </c>
      <c r="H178" s="5">
        <f t="shared" si="2"/>
        <v>-0.75258012392506568</v>
      </c>
      <c r="I178" s="6">
        <v>2.77942417965221E-5</v>
      </c>
      <c r="J178" s="6">
        <v>1.63592451779768E-4</v>
      </c>
      <c r="K178" s="9">
        <v>1.7236038019611401E-2</v>
      </c>
    </row>
    <row r="179" spans="1:11">
      <c r="A179" s="1" t="s">
        <v>622</v>
      </c>
      <c r="B179" s="1" t="s">
        <v>623</v>
      </c>
      <c r="D179" s="8" t="s">
        <v>623</v>
      </c>
      <c r="E179" s="5">
        <v>-0.92322468818430103</v>
      </c>
      <c r="F179" s="5">
        <v>-0.88265530552807903</v>
      </c>
      <c r="G179" s="5">
        <v>-0.46829823591709901</v>
      </c>
      <c r="H179" s="5">
        <f t="shared" si="2"/>
        <v>-0.75805940987649301</v>
      </c>
      <c r="I179" s="6">
        <v>9.4658404214949595E-6</v>
      </c>
      <c r="J179" s="6">
        <v>2.6488968033741499E-5</v>
      </c>
      <c r="K179" s="9">
        <v>2.5321189500098901E-2</v>
      </c>
    </row>
    <row r="180" spans="1:11">
      <c r="A180" s="1" t="s">
        <v>620</v>
      </c>
      <c r="B180" s="1" t="s">
        <v>621</v>
      </c>
      <c r="D180" s="8" t="s">
        <v>621</v>
      </c>
      <c r="E180" s="5">
        <v>-0.86528718055003695</v>
      </c>
      <c r="F180" s="5">
        <v>-0.89650802665858098</v>
      </c>
      <c r="G180" s="5">
        <v>-0.55332892411545298</v>
      </c>
      <c r="H180" s="5">
        <f t="shared" si="2"/>
        <v>-0.77170804377469038</v>
      </c>
      <c r="I180" s="6">
        <v>1.8179154487462E-4</v>
      </c>
      <c r="J180" s="6">
        <v>2.4756006625107702E-4</v>
      </c>
      <c r="K180" s="9">
        <v>1.47093122407437E-2</v>
      </c>
    </row>
    <row r="181" spans="1:11">
      <c r="A181" s="1" t="s">
        <v>274</v>
      </c>
      <c r="B181" s="1" t="s">
        <v>275</v>
      </c>
      <c r="D181" s="8" t="s">
        <v>275</v>
      </c>
      <c r="E181" s="5">
        <v>-0.82310793530389403</v>
      </c>
      <c r="F181" s="5">
        <v>-0.89089475565019804</v>
      </c>
      <c r="G181" s="5">
        <v>-0.61556996443197098</v>
      </c>
      <c r="H181" s="5">
        <f t="shared" si="2"/>
        <v>-0.77652421846202102</v>
      </c>
      <c r="I181" s="6">
        <v>1.55977988508038E-4</v>
      </c>
      <c r="J181" s="6">
        <v>6.4775209074677197E-5</v>
      </c>
      <c r="K181" s="9">
        <v>4.06739986319243E-3</v>
      </c>
    </row>
    <row r="182" spans="1:11">
      <c r="A182" s="1" t="s">
        <v>526</v>
      </c>
      <c r="B182" s="1" t="s">
        <v>527</v>
      </c>
      <c r="D182" s="8" t="s">
        <v>527</v>
      </c>
      <c r="E182" s="5">
        <v>-0.83250453071278896</v>
      </c>
      <c r="F182" s="5">
        <v>-0.67797810400721703</v>
      </c>
      <c r="G182" s="5">
        <v>-0.86253710849117005</v>
      </c>
      <c r="H182" s="5">
        <f t="shared" si="2"/>
        <v>-0.79100658107039201</v>
      </c>
      <c r="I182" s="6">
        <v>1.61912046993144E-4</v>
      </c>
      <c r="J182" s="6">
        <v>2.7007588980238902E-3</v>
      </c>
      <c r="K182" s="9">
        <v>9.3887357095592304E-5</v>
      </c>
    </row>
    <row r="183" spans="1:11">
      <c r="A183" s="1" t="s">
        <v>166</v>
      </c>
      <c r="B183" s="1" t="s">
        <v>167</v>
      </c>
      <c r="D183" s="8" t="s">
        <v>167</v>
      </c>
      <c r="E183" s="5">
        <v>-0.81688687291836803</v>
      </c>
      <c r="F183" s="5">
        <v>-0.78206932075779201</v>
      </c>
      <c r="G183" s="5">
        <v>-0.80751324745180297</v>
      </c>
      <c r="H183" s="5">
        <f t="shared" si="2"/>
        <v>-0.80215648037598763</v>
      </c>
      <c r="I183" s="6">
        <v>2.32630108230745E-4</v>
      </c>
      <c r="J183" s="6">
        <v>3.9979966613609599E-4</v>
      </c>
      <c r="K183" s="9">
        <v>2.63150561560621E-4</v>
      </c>
    </row>
    <row r="184" spans="1:11">
      <c r="A184" s="1" t="s">
        <v>236</v>
      </c>
      <c r="B184" s="1" t="s">
        <v>237</v>
      </c>
      <c r="D184" s="8" t="s">
        <v>237</v>
      </c>
      <c r="E184" s="5">
        <v>-0.88707234722296902</v>
      </c>
      <c r="F184" s="5">
        <v>-0.71552551410673104</v>
      </c>
      <c r="G184" s="5">
        <v>-0.81700377952566805</v>
      </c>
      <c r="H184" s="5">
        <f t="shared" si="2"/>
        <v>-0.80653388028512263</v>
      </c>
      <c r="I184" s="6">
        <v>2.96175591942091E-5</v>
      </c>
      <c r="J184" s="6">
        <v>7.0096971805400305E-4</v>
      </c>
      <c r="K184" s="9">
        <v>1.2105647492891101E-4</v>
      </c>
    </row>
    <row r="185" spans="1:11">
      <c r="A185" s="1" t="s">
        <v>14</v>
      </c>
      <c r="B185" s="1" t="s">
        <v>15</v>
      </c>
      <c r="D185" s="8" t="s">
        <v>15</v>
      </c>
      <c r="E185" s="5">
        <v>-0.83052858120126005</v>
      </c>
      <c r="F185" s="5">
        <v>-0.99634547811354501</v>
      </c>
      <c r="G185" s="5">
        <v>-0.66036345959124698</v>
      </c>
      <c r="H185" s="5">
        <f t="shared" si="2"/>
        <v>-0.82907917296868405</v>
      </c>
      <c r="I185" s="6">
        <v>2.3116364392841899E-4</v>
      </c>
      <c r="J185" s="6">
        <v>5.6036439641957796E-6</v>
      </c>
      <c r="K185" s="9">
        <v>5.5139644780481702E-3</v>
      </c>
    </row>
    <row r="186" spans="1:11">
      <c r="A186" s="1" t="s">
        <v>480</v>
      </c>
      <c r="B186" s="1" t="s">
        <v>481</v>
      </c>
      <c r="D186" s="8" t="s">
        <v>481</v>
      </c>
      <c r="E186" s="5">
        <v>-0.79732496556633703</v>
      </c>
      <c r="F186" s="5">
        <v>-0.63013144203263205</v>
      </c>
      <c r="G186" s="5">
        <v>-1.06181031889925</v>
      </c>
      <c r="H186" s="5">
        <f t="shared" si="2"/>
        <v>-0.82975557549940637</v>
      </c>
      <c r="I186" s="6">
        <v>2.9438416071289998E-4</v>
      </c>
      <c r="J186" s="6">
        <v>3.4959972862931301E-3</v>
      </c>
      <c r="K186" s="9">
        <v>1.89921114886034E-6</v>
      </c>
    </row>
    <row r="187" spans="1:11">
      <c r="A187" s="1" t="s">
        <v>540</v>
      </c>
      <c r="B187" s="1" t="s">
        <v>541</v>
      </c>
      <c r="D187" s="8" t="s">
        <v>541</v>
      </c>
      <c r="E187" s="5">
        <v>-1.0741081312693099</v>
      </c>
      <c r="F187" s="5">
        <v>-0.67427301173427301</v>
      </c>
      <c r="G187" s="5">
        <v>-0.74096630373522399</v>
      </c>
      <c r="H187" s="5">
        <f t="shared" si="2"/>
        <v>-0.82978248224626894</v>
      </c>
      <c r="I187" s="6">
        <v>1.9714938049685302E-6</v>
      </c>
      <c r="J187" s="6">
        <v>4.9104882935889502E-3</v>
      </c>
      <c r="K187" s="9">
        <v>7.1216141974609303E-4</v>
      </c>
    </row>
    <row r="188" spans="1:11">
      <c r="A188" s="1" t="s">
        <v>276</v>
      </c>
      <c r="B188" s="1" t="s">
        <v>277</v>
      </c>
      <c r="D188" s="8" t="s">
        <v>277</v>
      </c>
      <c r="E188" s="5">
        <v>-0.93167493655945199</v>
      </c>
      <c r="F188" s="5">
        <v>-0.981886606448517</v>
      </c>
      <c r="G188" s="5">
        <v>-0.57918086384192702</v>
      </c>
      <c r="H188" s="5">
        <f t="shared" si="2"/>
        <v>-0.83091413561663197</v>
      </c>
      <c r="I188" s="6">
        <v>5.0664482865021501E-5</v>
      </c>
      <c r="J188" s="6">
        <v>2.71261791333461E-5</v>
      </c>
      <c r="K188" s="9">
        <v>1.03642692750987E-2</v>
      </c>
    </row>
    <row r="189" spans="1:11">
      <c r="A189" s="1" t="s">
        <v>94</v>
      </c>
      <c r="B189" s="1" t="s">
        <v>95</v>
      </c>
      <c r="D189" s="8" t="s">
        <v>95</v>
      </c>
      <c r="E189" s="5">
        <v>-0.91553036741240501</v>
      </c>
      <c r="F189" s="5">
        <v>-0.80021150890381498</v>
      </c>
      <c r="G189" s="5">
        <v>-0.79095765916040295</v>
      </c>
      <c r="H189" s="5">
        <f t="shared" si="2"/>
        <v>-0.83556651182554098</v>
      </c>
      <c r="I189" s="6">
        <v>1.2303763960882999E-5</v>
      </c>
      <c r="J189" s="6">
        <v>1.9337209985735801E-4</v>
      </c>
      <c r="K189" s="9">
        <v>1.5202264021717E-4</v>
      </c>
    </row>
    <row r="190" spans="1:11">
      <c r="A190" s="1" t="s">
        <v>190</v>
      </c>
      <c r="B190" s="1" t="s">
        <v>191</v>
      </c>
      <c r="D190" s="8" t="s">
        <v>191</v>
      </c>
      <c r="E190" s="5">
        <v>-1.1460251526815599</v>
      </c>
      <c r="F190" s="5">
        <v>-0.754324205254159</v>
      </c>
      <c r="G190" s="5">
        <v>-0.62248976416018498</v>
      </c>
      <c r="H190" s="5">
        <f t="shared" si="2"/>
        <v>-0.84094637403196792</v>
      </c>
      <c r="I190" s="6">
        <v>4.2767927112839E-7</v>
      </c>
      <c r="J190" s="6">
        <v>1.4984814292582399E-3</v>
      </c>
      <c r="K190" s="9">
        <v>1.9058245442585602E-2</v>
      </c>
    </row>
    <row r="191" spans="1:11">
      <c r="A191" s="1" t="s">
        <v>466</v>
      </c>
      <c r="B191" s="1" t="s">
        <v>467</v>
      </c>
      <c r="D191" s="8" t="s">
        <v>467</v>
      </c>
      <c r="E191" s="5">
        <v>-0.96492111089599197</v>
      </c>
      <c r="F191" s="5">
        <v>-0.77148354541967601</v>
      </c>
      <c r="G191" s="5">
        <v>-0.80896096900210601</v>
      </c>
      <c r="H191" s="5">
        <f t="shared" si="2"/>
        <v>-0.84845520843925792</v>
      </c>
      <c r="I191" s="6">
        <v>1.9982699326752299E-5</v>
      </c>
      <c r="J191" s="6">
        <v>5.6543045256087496E-4</v>
      </c>
      <c r="K191" s="9">
        <v>3.1522498160219902E-3</v>
      </c>
    </row>
    <row r="192" spans="1:11">
      <c r="A192" s="1" t="s">
        <v>22</v>
      </c>
      <c r="B192" s="1" t="s">
        <v>23</v>
      </c>
      <c r="D192" s="8" t="s">
        <v>23</v>
      </c>
      <c r="E192" s="5">
        <v>-1.11423408415782</v>
      </c>
      <c r="F192" s="5">
        <v>-0.72578472661350901</v>
      </c>
      <c r="G192" s="5">
        <v>-0.72762301346853997</v>
      </c>
      <c r="H192" s="5">
        <f t="shared" si="2"/>
        <v>-0.85588060807995625</v>
      </c>
      <c r="I192" s="6">
        <v>4.0095899991843802E-7</v>
      </c>
      <c r="J192" s="6">
        <v>8.6071891844266698E-4</v>
      </c>
      <c r="K192" s="9">
        <v>7.7048705333120104E-4</v>
      </c>
    </row>
    <row r="193" spans="1:11">
      <c r="A193" s="1" t="s">
        <v>4</v>
      </c>
      <c r="B193" s="1" t="s">
        <v>5</v>
      </c>
      <c r="D193" s="8" t="s">
        <v>5</v>
      </c>
      <c r="E193" s="5">
        <v>-1.17109514142492</v>
      </c>
      <c r="F193" s="5">
        <v>-0.67151926934207096</v>
      </c>
      <c r="G193" s="5">
        <v>-0.72521796259585403</v>
      </c>
      <c r="H193" s="5">
        <f t="shared" si="2"/>
        <v>-0.85594412445428159</v>
      </c>
      <c r="I193" s="6">
        <v>3.6578941769225702E-8</v>
      </c>
      <c r="J193" s="6">
        <v>1.7947302667313801E-3</v>
      </c>
      <c r="K193" s="9">
        <v>4.7096966733280399E-4</v>
      </c>
    </row>
    <row r="194" spans="1:11">
      <c r="A194" s="1" t="s">
        <v>160</v>
      </c>
      <c r="B194" s="1" t="s">
        <v>161</v>
      </c>
      <c r="D194" s="8" t="s">
        <v>161</v>
      </c>
      <c r="E194" s="5">
        <v>-0.86200525888796298</v>
      </c>
      <c r="F194" s="5">
        <v>-0.64008943701740895</v>
      </c>
      <c r="G194" s="5">
        <v>-1.1054473603333901</v>
      </c>
      <c r="H194" s="5">
        <f t="shared" ref="H194:H257" si="3">AVERAGE(E194:G194)</f>
        <v>-0.86918068541292071</v>
      </c>
      <c r="I194" s="6">
        <v>7.5514933761618803E-5</v>
      </c>
      <c r="J194" s="6">
        <v>3.2969475326622599E-3</v>
      </c>
      <c r="K194" s="9">
        <v>3.7598746356048401E-7</v>
      </c>
    </row>
    <row r="195" spans="1:11">
      <c r="A195" s="1" t="s">
        <v>562</v>
      </c>
      <c r="B195" s="1" t="s">
        <v>563</v>
      </c>
      <c r="D195" s="8" t="s">
        <v>563</v>
      </c>
      <c r="E195" s="5">
        <v>-0.88168223321402905</v>
      </c>
      <c r="F195" s="5">
        <v>-0.74132257604334295</v>
      </c>
      <c r="G195" s="5">
        <v>-0.99877446488946497</v>
      </c>
      <c r="H195" s="5">
        <f t="shared" si="3"/>
        <v>-0.87392642471561233</v>
      </c>
      <c r="I195" s="6">
        <v>2.0056842577699299E-4</v>
      </c>
      <c r="J195" s="6">
        <v>1.4408001643652199E-3</v>
      </c>
      <c r="K195" s="9">
        <v>8.8128248427781798E-5</v>
      </c>
    </row>
    <row r="196" spans="1:11">
      <c r="A196" s="1" t="s">
        <v>594</v>
      </c>
      <c r="B196" s="1" t="s">
        <v>595</v>
      </c>
      <c r="D196" s="8" t="s">
        <v>595</v>
      </c>
      <c r="E196" s="5">
        <v>-0.91462920832004901</v>
      </c>
      <c r="F196" s="5">
        <v>-0.76863349783416501</v>
      </c>
      <c r="G196" s="5">
        <v>-0.94394628053608698</v>
      </c>
      <c r="H196" s="5">
        <f t="shared" si="3"/>
        <v>-0.875736328896767</v>
      </c>
      <c r="I196" s="6">
        <v>5.6842393627482703E-5</v>
      </c>
      <c r="J196" s="6">
        <v>4.8397397062579898E-4</v>
      </c>
      <c r="K196" s="9">
        <v>1.10279724780735E-4</v>
      </c>
    </row>
    <row r="197" spans="1:11">
      <c r="A197" s="1" t="s">
        <v>60</v>
      </c>
      <c r="B197" s="1" t="s">
        <v>61</v>
      </c>
      <c r="D197" s="8" t="s">
        <v>61</v>
      </c>
      <c r="E197" s="5">
        <v>-0.84729934904510595</v>
      </c>
      <c r="F197" s="5">
        <v>-0.84754147620590903</v>
      </c>
      <c r="G197" s="5">
        <v>-0.942068506509676</v>
      </c>
      <c r="H197" s="5">
        <f t="shared" si="3"/>
        <v>-0.87896977725356373</v>
      </c>
      <c r="I197" s="6">
        <v>5.7000146982177998E-5</v>
      </c>
      <c r="J197" s="6">
        <v>5.7011387086813801E-5</v>
      </c>
      <c r="K197" s="9">
        <v>1.5727542026223699E-5</v>
      </c>
    </row>
    <row r="198" spans="1:11">
      <c r="A198" s="1" t="s">
        <v>538</v>
      </c>
      <c r="B198" s="1" t="s">
        <v>539</v>
      </c>
      <c r="D198" s="8" t="s">
        <v>539</v>
      </c>
      <c r="E198" s="5">
        <v>-1.08388385701338</v>
      </c>
      <c r="F198" s="5">
        <v>-0.73291629421714</v>
      </c>
      <c r="G198" s="5">
        <v>-0.83066574188141395</v>
      </c>
      <c r="H198" s="5">
        <f t="shared" si="3"/>
        <v>-0.88248863103731123</v>
      </c>
      <c r="I198" s="6">
        <v>1.7219571559367999E-6</v>
      </c>
      <c r="J198" s="6">
        <v>5.0397753304477697E-3</v>
      </c>
      <c r="K198" s="9">
        <v>1.28589104101588E-4</v>
      </c>
    </row>
    <row r="199" spans="1:11">
      <c r="A199" s="1" t="s">
        <v>414</v>
      </c>
      <c r="B199" s="1" t="s">
        <v>415</v>
      </c>
      <c r="D199" s="8" t="s">
        <v>415</v>
      </c>
      <c r="E199" s="5">
        <v>-0.92372399384190595</v>
      </c>
      <c r="F199" s="5">
        <v>-0.84829338395836695</v>
      </c>
      <c r="G199" s="5">
        <v>-0.88651948450015505</v>
      </c>
      <c r="H199" s="5">
        <f t="shared" si="3"/>
        <v>-0.88617895410014258</v>
      </c>
      <c r="I199" s="6">
        <v>2.9119879019348101E-5</v>
      </c>
      <c r="J199" s="6">
        <v>1.18899302989532E-4</v>
      </c>
      <c r="K199" s="9">
        <v>6.6863579362075499E-5</v>
      </c>
    </row>
    <row r="200" spans="1:11">
      <c r="A200" s="1" t="s">
        <v>66</v>
      </c>
      <c r="B200" s="1" t="s">
        <v>67</v>
      </c>
      <c r="D200" s="8" t="s">
        <v>67</v>
      </c>
      <c r="E200" s="5">
        <v>-0.91640447744936504</v>
      </c>
      <c r="F200" s="5">
        <v>-0.95855941977039005</v>
      </c>
      <c r="G200" s="5">
        <v>-0.78836597147616805</v>
      </c>
      <c r="H200" s="5">
        <f t="shared" si="3"/>
        <v>-0.88777662289864112</v>
      </c>
      <c r="I200" s="6">
        <v>3.7697038201746401E-5</v>
      </c>
      <c r="J200" s="6">
        <v>1.8203939507190298E-5</v>
      </c>
      <c r="K200" s="9">
        <v>1.0863170121459299E-3</v>
      </c>
    </row>
    <row r="201" spans="1:11">
      <c r="A201" s="1" t="s">
        <v>326</v>
      </c>
      <c r="B201" s="1" t="s">
        <v>327</v>
      </c>
      <c r="D201" s="8" t="s">
        <v>327</v>
      </c>
      <c r="E201" s="5">
        <v>-0.83953010215105495</v>
      </c>
      <c r="F201" s="5">
        <v>-0.69081014111629802</v>
      </c>
      <c r="G201" s="5">
        <v>-1.1442811087637501</v>
      </c>
      <c r="H201" s="5">
        <f t="shared" si="3"/>
        <v>-0.89154045067703436</v>
      </c>
      <c r="I201" s="6">
        <v>2.63823720175758E-4</v>
      </c>
      <c r="J201" s="6">
        <v>3.0498660709993102E-3</v>
      </c>
      <c r="K201" s="9">
        <v>8.6447341846103905E-7</v>
      </c>
    </row>
    <row r="202" spans="1:11">
      <c r="A202" s="1" t="s">
        <v>548</v>
      </c>
      <c r="B202" s="1" t="s">
        <v>549</v>
      </c>
      <c r="D202" s="8" t="s">
        <v>549</v>
      </c>
      <c r="E202" s="5">
        <v>-1.41547913776944</v>
      </c>
      <c r="F202" s="5">
        <v>-0.72214991675141105</v>
      </c>
      <c r="G202" s="5">
        <v>-0.55940672589054796</v>
      </c>
      <c r="H202" s="5">
        <f t="shared" si="3"/>
        <v>-0.89901192680379971</v>
      </c>
      <c r="I202" s="6">
        <v>1.46491202794133E-10</v>
      </c>
      <c r="J202" s="6">
        <v>1.3517079079025901E-3</v>
      </c>
      <c r="K202" s="9">
        <v>1.6470106865577198E-2</v>
      </c>
    </row>
    <row r="203" spans="1:11">
      <c r="A203" s="1" t="s">
        <v>446</v>
      </c>
      <c r="B203" s="1" t="s">
        <v>447</v>
      </c>
      <c r="D203" s="8" t="s">
        <v>447</v>
      </c>
      <c r="E203" s="5">
        <v>-1.0056962527820299</v>
      </c>
      <c r="F203" s="5">
        <v>-1.03652933544586</v>
      </c>
      <c r="G203" s="5">
        <v>-0.66751310502261696</v>
      </c>
      <c r="H203" s="5">
        <f t="shared" si="3"/>
        <v>-0.90324623108350222</v>
      </c>
      <c r="I203" s="6">
        <v>2.6100201488386099E-6</v>
      </c>
      <c r="J203" s="6">
        <v>2.0728651831342099E-6</v>
      </c>
      <c r="K203" s="9">
        <v>1.7327000051824801E-3</v>
      </c>
    </row>
    <row r="204" spans="1:11">
      <c r="A204" s="1" t="s">
        <v>278</v>
      </c>
      <c r="B204" s="1" t="s">
        <v>279</v>
      </c>
      <c r="D204" s="8" t="s">
        <v>279</v>
      </c>
      <c r="E204" s="5">
        <v>-0.99807611397409102</v>
      </c>
      <c r="F204" s="5">
        <v>-0.93005676003567495</v>
      </c>
      <c r="G204" s="5">
        <v>-0.78688444919158296</v>
      </c>
      <c r="H204" s="5">
        <f t="shared" si="3"/>
        <v>-0.9050057744004496</v>
      </c>
      <c r="I204" s="6">
        <v>2.7342161132218001E-6</v>
      </c>
      <c r="J204" s="6">
        <v>1.20703647624182E-5</v>
      </c>
      <c r="K204" s="9">
        <v>2.3909145423905301E-4</v>
      </c>
    </row>
    <row r="205" spans="1:11">
      <c r="A205" s="1" t="s">
        <v>604</v>
      </c>
      <c r="B205" s="1" t="s">
        <v>605</v>
      </c>
      <c r="D205" s="8" t="s">
        <v>605</v>
      </c>
      <c r="E205" s="5">
        <v>-1.0354019181798</v>
      </c>
      <c r="F205" s="5">
        <v>-0.86113918275455004</v>
      </c>
      <c r="G205" s="5">
        <v>-0.83414672066337203</v>
      </c>
      <c r="H205" s="5">
        <f t="shared" si="3"/>
        <v>-0.91022927386590735</v>
      </c>
      <c r="I205" s="6">
        <v>1.0028969403573201E-6</v>
      </c>
      <c r="J205" s="6">
        <v>7.6968338055848599E-5</v>
      </c>
      <c r="K205" s="9">
        <v>6.3177715987721296E-5</v>
      </c>
    </row>
    <row r="206" spans="1:11">
      <c r="A206" s="1" t="s">
        <v>158</v>
      </c>
      <c r="B206" s="1" t="s">
        <v>159</v>
      </c>
      <c r="D206" s="8" t="s">
        <v>159</v>
      </c>
      <c r="E206" s="5">
        <v>-0.97191420663411598</v>
      </c>
      <c r="F206" s="5">
        <v>-0.98939828620405401</v>
      </c>
      <c r="G206" s="5">
        <v>-0.77622947783948304</v>
      </c>
      <c r="H206" s="5">
        <f t="shared" si="3"/>
        <v>-0.91251399022588442</v>
      </c>
      <c r="I206" s="6">
        <v>1.33506629977298E-5</v>
      </c>
      <c r="J206" s="6">
        <v>3.38516448139783E-5</v>
      </c>
      <c r="K206" s="9">
        <v>3.2437861064345302E-4</v>
      </c>
    </row>
    <row r="207" spans="1:11">
      <c r="A207" s="1" t="s">
        <v>30</v>
      </c>
      <c r="B207" s="1" t="s">
        <v>31</v>
      </c>
      <c r="D207" s="8" t="s">
        <v>31</v>
      </c>
      <c r="E207" s="5">
        <v>-1.0241054242902701</v>
      </c>
      <c r="F207" s="5">
        <v>-0.93922811772523795</v>
      </c>
      <c r="G207" s="5">
        <v>-0.77840677053735596</v>
      </c>
      <c r="H207" s="5">
        <f t="shared" si="3"/>
        <v>-0.91391343751762133</v>
      </c>
      <c r="I207" s="6">
        <v>4.78298779465653E-5</v>
      </c>
      <c r="J207" s="6">
        <v>8.7862457949791295E-5</v>
      </c>
      <c r="K207" s="9">
        <v>2.3945241064122699E-3</v>
      </c>
    </row>
    <row r="208" spans="1:11">
      <c r="A208" s="1" t="s">
        <v>8</v>
      </c>
      <c r="B208" s="1" t="s">
        <v>9</v>
      </c>
      <c r="D208" s="8" t="s">
        <v>9</v>
      </c>
      <c r="E208" s="5">
        <v>-1.1513344689037199</v>
      </c>
      <c r="F208" s="5">
        <v>-0.64398883999450796</v>
      </c>
      <c r="G208" s="5">
        <v>-0.97181606612165805</v>
      </c>
      <c r="H208" s="5">
        <f t="shared" si="3"/>
        <v>-0.92237979167329531</v>
      </c>
      <c r="I208" s="6">
        <v>1.84868759431719E-6</v>
      </c>
      <c r="J208" s="6">
        <v>5.5048061370859304E-3</v>
      </c>
      <c r="K208" s="9">
        <v>2.94036926570299E-5</v>
      </c>
    </row>
    <row r="209" spans="1:11">
      <c r="A209" s="1" t="s">
        <v>456</v>
      </c>
      <c r="B209" s="1" t="s">
        <v>457</v>
      </c>
      <c r="D209" s="8" t="s">
        <v>457</v>
      </c>
      <c r="E209" s="5">
        <v>-0.98494859861117101</v>
      </c>
      <c r="F209" s="5">
        <v>-0.94384381055382705</v>
      </c>
      <c r="G209" s="5">
        <v>-0.84929157774131103</v>
      </c>
      <c r="H209" s="5">
        <f t="shared" si="3"/>
        <v>-0.92602799563543636</v>
      </c>
      <c r="I209" s="6">
        <v>3.4688005824447997E-5</v>
      </c>
      <c r="J209" s="6">
        <v>1.2890679513393401E-4</v>
      </c>
      <c r="K209" s="9">
        <v>7.8435548392075105E-4</v>
      </c>
    </row>
    <row r="210" spans="1:11">
      <c r="A210" s="1" t="s">
        <v>544</v>
      </c>
      <c r="B210" s="1" t="s">
        <v>545</v>
      </c>
      <c r="D210" s="8" t="s">
        <v>545</v>
      </c>
      <c r="E210" s="5">
        <v>-0.84630890924239999</v>
      </c>
      <c r="F210" s="5">
        <v>-1.0856028506498301</v>
      </c>
      <c r="G210" s="5">
        <v>-0.87107036420261996</v>
      </c>
      <c r="H210" s="5">
        <f t="shared" si="3"/>
        <v>-0.93432737469828331</v>
      </c>
      <c r="I210" s="6">
        <v>4.5668191788667003E-5</v>
      </c>
      <c r="J210" s="6">
        <v>1.9545291429471299E-7</v>
      </c>
      <c r="K210" s="9">
        <v>2.9074088472940301E-5</v>
      </c>
    </row>
    <row r="211" spans="1:11">
      <c r="A211" s="1" t="s">
        <v>52</v>
      </c>
      <c r="B211" s="1" t="s">
        <v>53</v>
      </c>
      <c r="D211" s="8" t="s">
        <v>53</v>
      </c>
      <c r="E211" s="5">
        <v>-1.0511090664357201</v>
      </c>
      <c r="F211" s="5">
        <v>-0.85253090256785802</v>
      </c>
      <c r="G211" s="5">
        <v>-0.91788198914503005</v>
      </c>
      <c r="H211" s="5">
        <f t="shared" si="3"/>
        <v>-0.94050731938286936</v>
      </c>
      <c r="I211" s="6">
        <v>6.6415019024112802E-7</v>
      </c>
      <c r="J211" s="6">
        <v>6.7758606769930399E-5</v>
      </c>
      <c r="K211" s="9">
        <v>1.24371699640024E-5</v>
      </c>
    </row>
    <row r="212" spans="1:11">
      <c r="A212" s="1" t="s">
        <v>600</v>
      </c>
      <c r="B212" s="1" t="s">
        <v>601</v>
      </c>
      <c r="D212" s="8" t="s">
        <v>601</v>
      </c>
      <c r="E212" s="5">
        <v>-0.938297561062028</v>
      </c>
      <c r="F212" s="5">
        <v>-0.988690070542527</v>
      </c>
      <c r="G212" s="5">
        <v>-0.89489360426728604</v>
      </c>
      <c r="H212" s="5">
        <f t="shared" si="3"/>
        <v>-0.94062707862394701</v>
      </c>
      <c r="I212" s="6">
        <v>1.1681566615443301E-4</v>
      </c>
      <c r="J212" s="6">
        <v>1.8162176549365401E-5</v>
      </c>
      <c r="K212" s="9">
        <v>8.74933597298092E-4</v>
      </c>
    </row>
    <row r="213" spans="1:11">
      <c r="A213" s="1" t="s">
        <v>196</v>
      </c>
      <c r="B213" s="1" t="s">
        <v>197</v>
      </c>
      <c r="D213" s="8" t="s">
        <v>197</v>
      </c>
      <c r="E213" s="5">
        <v>-1.22864754261257</v>
      </c>
      <c r="F213" s="5">
        <v>-0.88911810705531802</v>
      </c>
      <c r="G213" s="5">
        <v>-0.72913565706420402</v>
      </c>
      <c r="H213" s="5">
        <f t="shared" si="3"/>
        <v>-0.94896710224403069</v>
      </c>
      <c r="I213" s="6">
        <v>1.2717512901562E-6</v>
      </c>
      <c r="J213" s="6">
        <v>2.9685566119989502E-4</v>
      </c>
      <c r="K213" s="9">
        <v>1.6988419926140599E-3</v>
      </c>
    </row>
    <row r="214" spans="1:11">
      <c r="A214" s="1" t="s">
        <v>644</v>
      </c>
      <c r="B214" s="1" t="s">
        <v>645</v>
      </c>
      <c r="D214" s="8" t="s">
        <v>645</v>
      </c>
      <c r="E214" s="5">
        <v>-1.1468121097659301</v>
      </c>
      <c r="F214" s="5">
        <v>-0.79484825979628604</v>
      </c>
      <c r="G214" s="5">
        <v>-0.92200493722388399</v>
      </c>
      <c r="H214" s="5">
        <f t="shared" si="3"/>
        <v>-0.95455510226203344</v>
      </c>
      <c r="I214" s="6">
        <v>1.16003354421237E-6</v>
      </c>
      <c r="J214" s="6">
        <v>1.3573109486402801E-3</v>
      </c>
      <c r="K214" s="9">
        <v>6.6191743081836396E-5</v>
      </c>
    </row>
    <row r="215" spans="1:11">
      <c r="A215" s="1" t="s">
        <v>244</v>
      </c>
      <c r="B215" s="1" t="s">
        <v>245</v>
      </c>
      <c r="D215" s="8" t="s">
        <v>245</v>
      </c>
      <c r="E215" s="5">
        <v>-0.76335828241979697</v>
      </c>
      <c r="F215" s="5">
        <v>-1.3048110140768301</v>
      </c>
      <c r="G215" s="5">
        <v>-0.82508420461496401</v>
      </c>
      <c r="H215" s="5">
        <f t="shared" si="3"/>
        <v>-0.96441783370386369</v>
      </c>
      <c r="I215" s="6">
        <v>2.12087880688007E-4</v>
      </c>
      <c r="J215" s="6">
        <v>3.9373793955850502E-10</v>
      </c>
      <c r="K215" s="9">
        <v>6.7335898066099302E-5</v>
      </c>
    </row>
    <row r="216" spans="1:11">
      <c r="A216" s="1" t="s">
        <v>418</v>
      </c>
      <c r="B216" s="1" t="s">
        <v>419</v>
      </c>
      <c r="D216" s="8" t="s">
        <v>419</v>
      </c>
      <c r="E216" s="5">
        <v>-1.16937498574772</v>
      </c>
      <c r="F216" s="5">
        <v>-0.90428580451728502</v>
      </c>
      <c r="G216" s="5">
        <v>-0.83790548791708697</v>
      </c>
      <c r="H216" s="5">
        <f t="shared" si="3"/>
        <v>-0.97052209272736389</v>
      </c>
      <c r="I216" s="6">
        <v>1.1309011113154401E-6</v>
      </c>
      <c r="J216" s="6">
        <v>5.4210302157222095E-4</v>
      </c>
      <c r="K216" s="9">
        <v>4.0017217211994798E-4</v>
      </c>
    </row>
    <row r="217" spans="1:11">
      <c r="A217" s="1" t="s">
        <v>28</v>
      </c>
      <c r="B217" s="1" t="s">
        <v>29</v>
      </c>
      <c r="D217" s="8" t="s">
        <v>29</v>
      </c>
      <c r="E217" s="5">
        <v>-1.1226662185774301</v>
      </c>
      <c r="F217" s="5">
        <v>-0.89403474251853199</v>
      </c>
      <c r="G217" s="5">
        <v>-0.902762292253948</v>
      </c>
      <c r="H217" s="5">
        <f t="shared" si="3"/>
        <v>-0.97315441778330347</v>
      </c>
      <c r="I217" s="6">
        <v>9.3312656953047105E-6</v>
      </c>
      <c r="J217" s="6">
        <v>1.80354410420197E-3</v>
      </c>
      <c r="K217" s="9">
        <v>3.50211194462524E-4</v>
      </c>
    </row>
    <row r="218" spans="1:11">
      <c r="A218" s="1" t="s">
        <v>114</v>
      </c>
      <c r="B218" s="1" t="s">
        <v>115</v>
      </c>
      <c r="D218" s="8" t="s">
        <v>115</v>
      </c>
      <c r="E218" s="5">
        <v>-1.00250784460187</v>
      </c>
      <c r="F218" s="5">
        <v>-1.0055085108872901</v>
      </c>
      <c r="G218" s="5">
        <v>-0.91354300023558199</v>
      </c>
      <c r="H218" s="5">
        <f t="shared" si="3"/>
        <v>-0.97385311857491408</v>
      </c>
      <c r="I218" s="6">
        <v>4.6712922033052904E-6</v>
      </c>
      <c r="J218" s="6">
        <v>4.0258997130731396E-6</v>
      </c>
      <c r="K218" s="9">
        <v>5.5219979016293898E-5</v>
      </c>
    </row>
    <row r="219" spans="1:11">
      <c r="A219" s="1" t="s">
        <v>628</v>
      </c>
      <c r="B219" s="1" t="s">
        <v>629</v>
      </c>
      <c r="D219" s="8" t="s">
        <v>629</v>
      </c>
      <c r="E219" s="5">
        <v>-1.1351560240874501</v>
      </c>
      <c r="F219" s="5">
        <v>-0.90348248736945602</v>
      </c>
      <c r="G219" s="5">
        <v>-0.88434400670933899</v>
      </c>
      <c r="H219" s="5">
        <f t="shared" si="3"/>
        <v>-0.97432750605541496</v>
      </c>
      <c r="I219" s="6">
        <v>3.7943691885165E-6</v>
      </c>
      <c r="J219" s="6">
        <v>3.60369199764086E-4</v>
      </c>
      <c r="K219" s="9">
        <v>4.6905743718649202E-4</v>
      </c>
    </row>
    <row r="220" spans="1:11">
      <c r="A220" s="1" t="s">
        <v>670</v>
      </c>
      <c r="B220" s="1" t="s">
        <v>671</v>
      </c>
      <c r="D220" s="8" t="s">
        <v>671</v>
      </c>
      <c r="E220" s="5">
        <v>-0.99113606278382205</v>
      </c>
      <c r="F220" s="5">
        <v>-1.18910357935193</v>
      </c>
      <c r="G220" s="5">
        <v>-0.77472637515683296</v>
      </c>
      <c r="H220" s="5">
        <f t="shared" si="3"/>
        <v>-0.98498867243086163</v>
      </c>
      <c r="I220" s="6">
        <v>7.3362430580115496E-6</v>
      </c>
      <c r="J220" s="6">
        <v>4.6259886874224099E-7</v>
      </c>
      <c r="K220" s="9">
        <v>2.8396173426850299E-4</v>
      </c>
    </row>
    <row r="221" spans="1:11">
      <c r="A221" s="1" t="s">
        <v>12</v>
      </c>
      <c r="B221" s="1" t="s">
        <v>13</v>
      </c>
      <c r="D221" s="8" t="s">
        <v>13</v>
      </c>
      <c r="E221" s="5">
        <v>-0.75618978095656098</v>
      </c>
      <c r="F221" s="5">
        <v>-0.72982267040426596</v>
      </c>
      <c r="G221" s="5">
        <v>-1.4720460716634001</v>
      </c>
      <c r="H221" s="5">
        <f t="shared" si="3"/>
        <v>-0.98601950767474233</v>
      </c>
      <c r="I221" s="6">
        <v>3.4696133204518498E-4</v>
      </c>
      <c r="J221" s="6">
        <v>7.4004859303197302E-4</v>
      </c>
      <c r="K221" s="9">
        <v>6.2179465457862299E-12</v>
      </c>
    </row>
    <row r="222" spans="1:11">
      <c r="A222" s="1" t="s">
        <v>678</v>
      </c>
      <c r="B222" s="1" t="s">
        <v>679</v>
      </c>
      <c r="D222" s="8" t="s">
        <v>679</v>
      </c>
      <c r="E222" s="5">
        <v>-1.00382152024117</v>
      </c>
      <c r="F222" s="5">
        <v>-1.23576653384824</v>
      </c>
      <c r="G222" s="5">
        <v>-0.72230813171483699</v>
      </c>
      <c r="H222" s="5">
        <f t="shared" si="3"/>
        <v>-0.98729872860141565</v>
      </c>
      <c r="I222" s="6">
        <v>5.4847978059071902E-5</v>
      </c>
      <c r="J222" s="6">
        <v>5.6298878587773898E-6</v>
      </c>
      <c r="K222" s="9">
        <v>2.9993793968374999E-3</v>
      </c>
    </row>
    <row r="223" spans="1:11">
      <c r="A223" s="1" t="s">
        <v>512</v>
      </c>
      <c r="B223" s="1" t="s">
        <v>513</v>
      </c>
      <c r="D223" s="8" t="s">
        <v>513</v>
      </c>
      <c r="E223" s="5">
        <v>-1.0032293379550199</v>
      </c>
      <c r="F223" s="5">
        <v>-1.18870072025211</v>
      </c>
      <c r="G223" s="5">
        <v>-0.77141030525091003</v>
      </c>
      <c r="H223" s="5">
        <f t="shared" si="3"/>
        <v>-0.9877801211526801</v>
      </c>
      <c r="I223" s="6">
        <v>1.39951292660765E-5</v>
      </c>
      <c r="J223" s="6">
        <v>1.01541506191686E-7</v>
      </c>
      <c r="K223" s="9">
        <v>9.4159685329840205E-4</v>
      </c>
    </row>
    <row r="224" spans="1:11">
      <c r="A224" s="1" t="s">
        <v>110</v>
      </c>
      <c r="B224" s="1" t="s">
        <v>111</v>
      </c>
      <c r="D224" s="8" t="s">
        <v>111</v>
      </c>
      <c r="E224" s="5">
        <v>-1.30306864044315</v>
      </c>
      <c r="F224" s="5">
        <v>-1.02781276670574</v>
      </c>
      <c r="G224" s="5">
        <v>-0.65202982620974104</v>
      </c>
      <c r="H224" s="5">
        <f t="shared" si="3"/>
        <v>-0.99430374445287695</v>
      </c>
      <c r="I224" s="6">
        <v>1.6921911157134001E-6</v>
      </c>
      <c r="J224" s="6">
        <v>1.01618625968727E-4</v>
      </c>
      <c r="K224" s="9">
        <v>3.1383979586942401E-3</v>
      </c>
    </row>
    <row r="225" spans="1:11">
      <c r="A225" s="1" t="s">
        <v>266</v>
      </c>
      <c r="B225" s="1" t="s">
        <v>267</v>
      </c>
      <c r="D225" s="8" t="s">
        <v>267</v>
      </c>
      <c r="E225" s="5">
        <v>-0.90950313768587099</v>
      </c>
      <c r="F225" s="5">
        <v>-0.97307600046767795</v>
      </c>
      <c r="G225" s="5">
        <v>-1.1274707318828701</v>
      </c>
      <c r="H225" s="5">
        <f t="shared" si="3"/>
        <v>-1.0033499566788062</v>
      </c>
      <c r="I225" s="6">
        <v>2.70083517811832E-4</v>
      </c>
      <c r="J225" s="6">
        <v>4.3618940690198102E-5</v>
      </c>
      <c r="K225" s="9">
        <v>2.8079330690933401E-5</v>
      </c>
    </row>
    <row r="226" spans="1:11">
      <c r="A226" s="1" t="s">
        <v>258</v>
      </c>
      <c r="B226" s="1" t="s">
        <v>259</v>
      </c>
      <c r="D226" s="8" t="s">
        <v>259</v>
      </c>
      <c r="E226" s="5">
        <v>-1.25503778081351</v>
      </c>
      <c r="F226" s="5">
        <v>-0.80229891787177998</v>
      </c>
      <c r="G226" s="5">
        <v>-0.95855437372833596</v>
      </c>
      <c r="H226" s="5">
        <f t="shared" si="3"/>
        <v>-1.0052970241378754</v>
      </c>
      <c r="I226" s="6">
        <v>2.6176816028700101E-8</v>
      </c>
      <c r="J226" s="6">
        <v>3.2952730988352501E-4</v>
      </c>
      <c r="K226" s="9">
        <v>3.3919424073650997E-5</v>
      </c>
    </row>
    <row r="227" spans="1:11">
      <c r="A227" s="1" t="s">
        <v>348</v>
      </c>
      <c r="B227" s="1" t="s">
        <v>349</v>
      </c>
      <c r="D227" s="8" t="s">
        <v>349</v>
      </c>
      <c r="E227" s="5">
        <v>-1.0207684716804999</v>
      </c>
      <c r="F227" s="5">
        <v>-0.97825444370266601</v>
      </c>
      <c r="G227" s="5">
        <v>-1.01735192964191</v>
      </c>
      <c r="H227" s="5">
        <f t="shared" si="3"/>
        <v>-1.0054582816750253</v>
      </c>
      <c r="I227" s="6">
        <v>1.13302345205908E-5</v>
      </c>
      <c r="J227" s="6">
        <v>1.8071096166553901E-5</v>
      </c>
      <c r="K227" s="9">
        <v>1.11258042863866E-5</v>
      </c>
    </row>
    <row r="228" spans="1:11">
      <c r="A228" s="1" t="s">
        <v>558</v>
      </c>
      <c r="B228" s="1" t="s">
        <v>559</v>
      </c>
      <c r="D228" s="8" t="s">
        <v>559</v>
      </c>
      <c r="E228" s="5">
        <v>-1.3653690104684</v>
      </c>
      <c r="F228" s="5">
        <v>-0.84798854678180202</v>
      </c>
      <c r="G228" s="5">
        <v>-0.80517801405383305</v>
      </c>
      <c r="H228" s="5">
        <f t="shared" si="3"/>
        <v>-1.0061785237680116</v>
      </c>
      <c r="I228" s="6">
        <v>1.3375821766509099E-10</v>
      </c>
      <c r="J228" s="6">
        <v>5.60858313667767E-5</v>
      </c>
      <c r="K228" s="9">
        <v>1.07730119588492E-4</v>
      </c>
    </row>
    <row r="229" spans="1:11">
      <c r="A229" s="1" t="s">
        <v>50</v>
      </c>
      <c r="B229" s="1" t="s">
        <v>51</v>
      </c>
      <c r="D229" s="8" t="s">
        <v>51</v>
      </c>
      <c r="E229" s="5">
        <v>-0.96764041457541705</v>
      </c>
      <c r="F229" s="5">
        <v>-0.61258473529837398</v>
      </c>
      <c r="G229" s="5">
        <v>-1.43962170752803</v>
      </c>
      <c r="H229" s="5">
        <f t="shared" si="3"/>
        <v>-1.0066156191339404</v>
      </c>
      <c r="I229" s="6">
        <v>1.06782983869504E-4</v>
      </c>
      <c r="J229" s="6">
        <v>2.6327917462953002E-2</v>
      </c>
      <c r="K229" s="9">
        <v>3.0693342379117102E-10</v>
      </c>
    </row>
    <row r="230" spans="1:11">
      <c r="A230" s="1" t="s">
        <v>508</v>
      </c>
      <c r="B230" s="1" t="s">
        <v>509</v>
      </c>
      <c r="D230" s="8" t="s">
        <v>509</v>
      </c>
      <c r="E230" s="5">
        <v>-1.2852521255979501</v>
      </c>
      <c r="F230" s="5">
        <v>-0.81987618239064697</v>
      </c>
      <c r="G230" s="5">
        <v>-0.91939239974402598</v>
      </c>
      <c r="H230" s="5">
        <f t="shared" si="3"/>
        <v>-1.0081735692442078</v>
      </c>
      <c r="I230" s="6">
        <v>4.2189237101128704E-9</v>
      </c>
      <c r="J230" s="6">
        <v>1.5491801410866799E-4</v>
      </c>
      <c r="K230" s="9">
        <v>1.32260650348721E-5</v>
      </c>
    </row>
    <row r="231" spans="1:11">
      <c r="A231" s="1" t="s">
        <v>68</v>
      </c>
      <c r="B231" s="1" t="s">
        <v>69</v>
      </c>
      <c r="D231" s="8" t="s">
        <v>69</v>
      </c>
      <c r="E231" s="5">
        <v>-1.06434261567252</v>
      </c>
      <c r="F231" s="5">
        <v>-1.16223267929162</v>
      </c>
      <c r="G231" s="5">
        <v>-0.83323492176593705</v>
      </c>
      <c r="H231" s="5">
        <f t="shared" si="3"/>
        <v>-1.0199367389100256</v>
      </c>
      <c r="I231" s="6">
        <v>1.3223173581114999E-6</v>
      </c>
      <c r="J231" s="6">
        <v>2.1285232109300999E-7</v>
      </c>
      <c r="K231" s="9">
        <v>2.7632021996195797E-4</v>
      </c>
    </row>
    <row r="232" spans="1:11">
      <c r="A232" s="1" t="s">
        <v>140</v>
      </c>
      <c r="B232" s="1" t="s">
        <v>141</v>
      </c>
      <c r="D232" s="8" t="s">
        <v>141</v>
      </c>
      <c r="E232" s="5">
        <v>-1.22406285982425</v>
      </c>
      <c r="F232" s="5">
        <v>-0.81577222912886105</v>
      </c>
      <c r="G232" s="5">
        <v>-1.0359700544994701</v>
      </c>
      <c r="H232" s="5">
        <f t="shared" si="3"/>
        <v>-1.0252683811508605</v>
      </c>
      <c r="I232" s="6">
        <v>1.2738088013749999E-6</v>
      </c>
      <c r="J232" s="6">
        <v>8.6145194472307901E-4</v>
      </c>
      <c r="K232" s="9">
        <v>1.22567812848456E-3</v>
      </c>
    </row>
    <row r="233" spans="1:11">
      <c r="A233" s="1" t="s">
        <v>366</v>
      </c>
      <c r="B233" s="1" t="s">
        <v>367</v>
      </c>
      <c r="D233" s="8" t="s">
        <v>367</v>
      </c>
      <c r="E233" s="5">
        <v>-1.0335699124737101</v>
      </c>
      <c r="F233" s="5">
        <v>-0.76409201816584504</v>
      </c>
      <c r="G233" s="5">
        <v>-1.27855287980534</v>
      </c>
      <c r="H233" s="5">
        <f t="shared" si="3"/>
        <v>-1.0254049368149651</v>
      </c>
      <c r="I233" s="6">
        <v>1.74189846666508E-5</v>
      </c>
      <c r="J233" s="6">
        <v>1.4622573427745E-3</v>
      </c>
      <c r="K233" s="9">
        <v>1.42032404055413E-7</v>
      </c>
    </row>
    <row r="234" spans="1:11">
      <c r="A234" s="1" t="s">
        <v>148</v>
      </c>
      <c r="B234" s="1" t="s">
        <v>149</v>
      </c>
      <c r="D234" s="8" t="s">
        <v>149</v>
      </c>
      <c r="E234" s="5">
        <v>-1.1766339233323999</v>
      </c>
      <c r="F234" s="5">
        <v>-1.2569247586696</v>
      </c>
      <c r="G234" s="5">
        <v>-0.66851186924572203</v>
      </c>
      <c r="H234" s="5">
        <f t="shared" si="3"/>
        <v>-1.034023517082574</v>
      </c>
      <c r="I234" s="6">
        <v>1.4636022453396899E-5</v>
      </c>
      <c r="J234" s="6">
        <v>2.0294391489089901E-4</v>
      </c>
      <c r="K234" s="9">
        <v>1.9163805616263501E-2</v>
      </c>
    </row>
    <row r="235" spans="1:11">
      <c r="A235" s="1" t="s">
        <v>242</v>
      </c>
      <c r="B235" s="1" t="s">
        <v>243</v>
      </c>
      <c r="D235" s="8" t="s">
        <v>243</v>
      </c>
      <c r="E235" s="5">
        <v>-1.0461723299132799</v>
      </c>
      <c r="F235" s="5">
        <v>-0.92636031126670304</v>
      </c>
      <c r="G235" s="5">
        <v>-1.17174262272312</v>
      </c>
      <c r="H235" s="5">
        <f t="shared" si="3"/>
        <v>-1.0480917546343678</v>
      </c>
      <c r="I235" s="6">
        <v>2.1653236575978998E-6</v>
      </c>
      <c r="J235" s="6">
        <v>3.6865095890902098E-5</v>
      </c>
      <c r="K235" s="9">
        <v>3.59319101530219E-7</v>
      </c>
    </row>
    <row r="236" spans="1:11">
      <c r="A236" s="1" t="s">
        <v>268</v>
      </c>
      <c r="B236" s="1" t="s">
        <v>269</v>
      </c>
      <c r="D236" s="8" t="s">
        <v>269</v>
      </c>
      <c r="E236" s="5">
        <v>-0.85995322216954895</v>
      </c>
      <c r="F236" s="5">
        <v>-1.61545533110964</v>
      </c>
      <c r="G236" s="5">
        <v>-0.68133382096825101</v>
      </c>
      <c r="H236" s="5">
        <f t="shared" si="3"/>
        <v>-1.0522474580824801</v>
      </c>
      <c r="I236" s="6">
        <v>1.00989919762983E-4</v>
      </c>
      <c r="J236" s="6">
        <v>1.0229710486812001E-12</v>
      </c>
      <c r="K236" s="9">
        <v>4.0464800944749798E-3</v>
      </c>
    </row>
    <row r="237" spans="1:11">
      <c r="A237" s="1" t="s">
        <v>392</v>
      </c>
      <c r="B237" s="1" t="s">
        <v>393</v>
      </c>
      <c r="D237" s="8" t="s">
        <v>393</v>
      </c>
      <c r="E237" s="5">
        <v>-0.90303897990297899</v>
      </c>
      <c r="F237" s="5">
        <v>-1.2834848271300201</v>
      </c>
      <c r="G237" s="5">
        <v>-0.97717245317220502</v>
      </c>
      <c r="H237" s="5">
        <f t="shared" si="3"/>
        <v>-1.0545654200684014</v>
      </c>
      <c r="I237" s="6">
        <v>2.37248559468675E-5</v>
      </c>
      <c r="J237" s="6">
        <v>4.23772634691906E-9</v>
      </c>
      <c r="K237" s="9">
        <v>9.9034399795462297E-6</v>
      </c>
    </row>
    <row r="238" spans="1:11">
      <c r="A238" s="1" t="s">
        <v>218</v>
      </c>
      <c r="B238" s="1" t="s">
        <v>219</v>
      </c>
      <c r="D238" s="8" t="s">
        <v>219</v>
      </c>
      <c r="E238" s="5">
        <v>-1.1678896108755199</v>
      </c>
      <c r="F238" s="5">
        <v>-0.77119120449214795</v>
      </c>
      <c r="G238" s="5">
        <v>-1.26320856815371</v>
      </c>
      <c r="H238" s="5">
        <f t="shared" si="3"/>
        <v>-1.0674297945071258</v>
      </c>
      <c r="I238" s="6">
        <v>1.2684969977270101E-6</v>
      </c>
      <c r="J238" s="6">
        <v>2.3746905026549299E-3</v>
      </c>
      <c r="K238" s="9">
        <v>1.12884017490797E-7</v>
      </c>
    </row>
    <row r="239" spans="1:11">
      <c r="A239" s="1" t="s">
        <v>672</v>
      </c>
      <c r="B239" s="1" t="s">
        <v>673</v>
      </c>
      <c r="D239" s="8" t="s">
        <v>673</v>
      </c>
      <c r="E239" s="5">
        <v>-0.97307341159383598</v>
      </c>
      <c r="F239" s="5">
        <v>-0.75026329964053795</v>
      </c>
      <c r="G239" s="5">
        <v>-1.49251147747351</v>
      </c>
      <c r="H239" s="5">
        <f t="shared" si="3"/>
        <v>-1.0719493962359612</v>
      </c>
      <c r="I239" s="6">
        <v>1.40897227571984E-5</v>
      </c>
      <c r="J239" s="6">
        <v>5.5069004717751998E-4</v>
      </c>
      <c r="K239" s="9">
        <v>2.8549046790668899E-11</v>
      </c>
    </row>
    <row r="240" spans="1:11">
      <c r="A240" s="1" t="s">
        <v>386</v>
      </c>
      <c r="B240" s="1" t="s">
        <v>387</v>
      </c>
      <c r="D240" s="8" t="s">
        <v>387</v>
      </c>
      <c r="E240" s="5">
        <v>-0.84638517268403102</v>
      </c>
      <c r="F240" s="5">
        <v>-1.1606024137123401</v>
      </c>
      <c r="G240" s="5">
        <v>-1.21223516862659</v>
      </c>
      <c r="H240" s="5">
        <f t="shared" si="3"/>
        <v>-1.0730742516743204</v>
      </c>
      <c r="I240" s="6">
        <v>5.6937290372432601E-5</v>
      </c>
      <c r="J240" s="6">
        <v>2.7302313011906E-8</v>
      </c>
      <c r="K240" s="9">
        <v>8.1961005916386103E-9</v>
      </c>
    </row>
    <row r="241" spans="1:11">
      <c r="A241" s="1" t="s">
        <v>498</v>
      </c>
      <c r="B241" s="1" t="s">
        <v>499</v>
      </c>
      <c r="D241" s="8" t="s">
        <v>499</v>
      </c>
      <c r="E241" s="5">
        <v>-1.3365198629286399</v>
      </c>
      <c r="F241" s="5">
        <v>-1.11601241639231</v>
      </c>
      <c r="G241" s="5">
        <v>-0.77127903320390001</v>
      </c>
      <c r="H241" s="5">
        <f t="shared" si="3"/>
        <v>-1.0746037708416167</v>
      </c>
      <c r="I241" s="6">
        <v>7.8697104737895296E-10</v>
      </c>
      <c r="J241" s="6">
        <v>1.07809852867366E-6</v>
      </c>
      <c r="K241" s="9">
        <v>5.2200511040948003E-4</v>
      </c>
    </row>
    <row r="242" spans="1:11">
      <c r="A242" s="1" t="s">
        <v>500</v>
      </c>
      <c r="B242" s="1" t="s">
        <v>501</v>
      </c>
      <c r="D242" s="8" t="s">
        <v>501</v>
      </c>
      <c r="E242" s="5">
        <v>-0.91564130856320503</v>
      </c>
      <c r="F242" s="5">
        <v>-1.5213036587395801</v>
      </c>
      <c r="G242" s="5">
        <v>-0.78944466051016504</v>
      </c>
      <c r="H242" s="5">
        <f t="shared" si="3"/>
        <v>-1.0754632092709835</v>
      </c>
      <c r="I242" s="6">
        <v>1.3876726182643001E-4</v>
      </c>
      <c r="J242" s="6">
        <v>4.6593707166546104E-9</v>
      </c>
      <c r="K242" s="9">
        <v>9.0220267996413595E-4</v>
      </c>
    </row>
    <row r="243" spans="1:11">
      <c r="A243" s="1" t="s">
        <v>216</v>
      </c>
      <c r="B243" s="1" t="s">
        <v>217</v>
      </c>
      <c r="D243" s="8" t="s">
        <v>217</v>
      </c>
      <c r="E243" s="5">
        <v>-0.89327209699703802</v>
      </c>
      <c r="F243" s="5">
        <v>-1.08326890648681</v>
      </c>
      <c r="G243" s="5">
        <v>-1.2526847848354701</v>
      </c>
      <c r="H243" s="5">
        <f t="shared" si="3"/>
        <v>-1.0764085961064394</v>
      </c>
      <c r="I243" s="6">
        <v>6.9664597837220107E-5</v>
      </c>
      <c r="J243" s="6">
        <v>1.4342094276563101E-6</v>
      </c>
      <c r="K243" s="9">
        <v>7.4448982557148801E-7</v>
      </c>
    </row>
    <row r="244" spans="1:11">
      <c r="A244" s="1" t="s">
        <v>636</v>
      </c>
      <c r="B244" s="1" t="s">
        <v>637</v>
      </c>
      <c r="D244" s="8" t="s">
        <v>637</v>
      </c>
      <c r="E244" s="5">
        <v>-1.0438494566616101</v>
      </c>
      <c r="F244" s="5">
        <v>-1.0025589307948799</v>
      </c>
      <c r="G244" s="5">
        <v>-1.1922692860659401</v>
      </c>
      <c r="H244" s="5">
        <f t="shared" si="3"/>
        <v>-1.0795592245074765</v>
      </c>
      <c r="I244" s="6">
        <v>7.4513802394300806E-5</v>
      </c>
      <c r="J244" s="6">
        <v>1.8742474711676201E-4</v>
      </c>
      <c r="K244" s="9">
        <v>3.72676606307268E-6</v>
      </c>
    </row>
    <row r="245" spans="1:11">
      <c r="A245" s="1" t="s">
        <v>638</v>
      </c>
      <c r="B245" s="1" t="s">
        <v>639</v>
      </c>
      <c r="D245" s="8" t="s">
        <v>639</v>
      </c>
      <c r="E245" s="5">
        <v>-1.1808971354060001</v>
      </c>
      <c r="F245" s="5">
        <v>-1.01514297241282</v>
      </c>
      <c r="G245" s="5">
        <v>-1.0506472617467499</v>
      </c>
      <c r="H245" s="5">
        <f t="shared" si="3"/>
        <v>-1.0822291231885233</v>
      </c>
      <c r="I245" s="6">
        <v>2.2592297384849198E-5</v>
      </c>
      <c r="J245" s="6">
        <v>5.1118062616062397E-4</v>
      </c>
      <c r="K245" s="9">
        <v>9.4618787357366406E-5</v>
      </c>
    </row>
    <row r="246" spans="1:11">
      <c r="A246" s="1" t="s">
        <v>494</v>
      </c>
      <c r="B246" s="1" t="s">
        <v>495</v>
      </c>
      <c r="D246" s="8" t="s">
        <v>495</v>
      </c>
      <c r="E246" s="5">
        <v>-0.84790650001284795</v>
      </c>
      <c r="F246" s="5">
        <v>-1.24647258088849</v>
      </c>
      <c r="G246" s="5">
        <v>-1.1885600107329299</v>
      </c>
      <c r="H246" s="5">
        <f t="shared" si="3"/>
        <v>-1.0943130305447559</v>
      </c>
      <c r="I246" s="6">
        <v>9.5292121733185295E-5</v>
      </c>
      <c r="J246" s="6">
        <v>1.8726412338690601E-8</v>
      </c>
      <c r="K246" s="9">
        <v>8.1736645836139E-8</v>
      </c>
    </row>
    <row r="247" spans="1:11">
      <c r="A247" s="1" t="s">
        <v>556</v>
      </c>
      <c r="B247" s="1" t="s">
        <v>557</v>
      </c>
      <c r="D247" s="8" t="s">
        <v>557</v>
      </c>
      <c r="E247" s="5">
        <v>-1.08996355711462</v>
      </c>
      <c r="F247" s="5">
        <v>-1.2298927687276699</v>
      </c>
      <c r="G247" s="5">
        <v>-0.98183626301942595</v>
      </c>
      <c r="H247" s="5">
        <f t="shared" si="3"/>
        <v>-1.1005641962872386</v>
      </c>
      <c r="I247" s="6">
        <v>4.0488799663343797E-6</v>
      </c>
      <c r="J247" s="6">
        <v>2.96768565973743E-7</v>
      </c>
      <c r="K247" s="9">
        <v>9.4029456561971704E-6</v>
      </c>
    </row>
    <row r="248" spans="1:11">
      <c r="A248" s="1" t="s">
        <v>370</v>
      </c>
      <c r="B248" s="1" t="s">
        <v>371</v>
      </c>
      <c r="D248" s="8" t="s">
        <v>371</v>
      </c>
      <c r="E248" s="5">
        <v>-1.0141450510825201</v>
      </c>
      <c r="F248" s="5">
        <v>-0.82467197087344901</v>
      </c>
      <c r="G248" s="5">
        <v>-1.47495687562665</v>
      </c>
      <c r="H248" s="5">
        <f t="shared" si="3"/>
        <v>-1.1045912991942064</v>
      </c>
      <c r="I248" s="6">
        <v>6.9002320447032197E-6</v>
      </c>
      <c r="J248" s="6">
        <v>2.3863525193016299E-4</v>
      </c>
      <c r="K248" s="9">
        <v>5.0258111221480399E-11</v>
      </c>
    </row>
    <row r="249" spans="1:11">
      <c r="A249" s="1" t="s">
        <v>46</v>
      </c>
      <c r="B249" s="1" t="s">
        <v>47</v>
      </c>
      <c r="D249" s="8" t="s">
        <v>47</v>
      </c>
      <c r="E249" s="5">
        <v>-0.93723381461790001</v>
      </c>
      <c r="F249" s="5">
        <v>-1.36596914965858</v>
      </c>
      <c r="G249" s="5">
        <v>-1.01983588496671</v>
      </c>
      <c r="H249" s="5">
        <f t="shared" si="3"/>
        <v>-1.1076796164143967</v>
      </c>
      <c r="I249" s="6">
        <v>3.3431840221405099E-5</v>
      </c>
      <c r="J249" s="6">
        <v>1.68494248726461E-9</v>
      </c>
      <c r="K249" s="9">
        <v>7.6106920151116698E-5</v>
      </c>
    </row>
    <row r="250" spans="1:11">
      <c r="A250" s="1" t="s">
        <v>230</v>
      </c>
      <c r="B250" s="1" t="s">
        <v>231</v>
      </c>
      <c r="D250" s="8" t="s">
        <v>231</v>
      </c>
      <c r="E250" s="5">
        <v>-1.31094917817665</v>
      </c>
      <c r="F250" s="5">
        <v>-0.99371765727637995</v>
      </c>
      <c r="G250" s="5">
        <v>-1.01883093263979</v>
      </c>
      <c r="H250" s="5">
        <f t="shared" si="3"/>
        <v>-1.1078325893642733</v>
      </c>
      <c r="I250" s="6">
        <v>3.0088793242596499E-7</v>
      </c>
      <c r="J250" s="6">
        <v>1.62011318889681E-5</v>
      </c>
      <c r="K250" s="9">
        <v>2.25025631427384E-5</v>
      </c>
    </row>
    <row r="251" spans="1:11">
      <c r="A251" s="1" t="s">
        <v>238</v>
      </c>
      <c r="B251" s="1" t="s">
        <v>239</v>
      </c>
      <c r="D251" s="8" t="s">
        <v>239</v>
      </c>
      <c r="E251" s="5">
        <v>-1.03168383439094</v>
      </c>
      <c r="F251" s="5">
        <v>-1.1879415496158701</v>
      </c>
      <c r="G251" s="5">
        <v>-1.1121025933063999</v>
      </c>
      <c r="H251" s="5">
        <f t="shared" si="3"/>
        <v>-1.1105759924377365</v>
      </c>
      <c r="I251" s="6">
        <v>1.4809376478669999E-5</v>
      </c>
      <c r="J251" s="6">
        <v>1.4948743598181399E-6</v>
      </c>
      <c r="K251" s="9">
        <v>1.78040156668028E-6</v>
      </c>
    </row>
    <row r="252" spans="1:11">
      <c r="A252" s="1" t="s">
        <v>146</v>
      </c>
      <c r="B252" s="1" t="s">
        <v>147</v>
      </c>
      <c r="D252" s="8" t="s">
        <v>147</v>
      </c>
      <c r="E252" s="5">
        <v>-1.29601982766687</v>
      </c>
      <c r="F252" s="5">
        <v>-1.08607187825709</v>
      </c>
      <c r="G252" s="5">
        <v>-0.96879445009207099</v>
      </c>
      <c r="H252" s="5">
        <f t="shared" si="3"/>
        <v>-1.1169620520053438</v>
      </c>
      <c r="I252" s="6">
        <v>7.0503066339039E-8</v>
      </c>
      <c r="J252" s="6">
        <v>3.2422946566426798E-5</v>
      </c>
      <c r="K252" s="9">
        <v>5.68302078207126E-5</v>
      </c>
    </row>
    <row r="253" spans="1:11">
      <c r="A253" s="1" t="s">
        <v>108</v>
      </c>
      <c r="B253" s="1" t="s">
        <v>109</v>
      </c>
      <c r="D253" s="8" t="s">
        <v>109</v>
      </c>
      <c r="E253" s="5">
        <v>-1.2467917639064101</v>
      </c>
      <c r="F253" s="5">
        <v>-0.89860458383182296</v>
      </c>
      <c r="G253" s="5">
        <v>-1.2157262142262499</v>
      </c>
      <c r="H253" s="5">
        <f t="shared" si="3"/>
        <v>-1.1203741873214943</v>
      </c>
      <c r="I253" s="6">
        <v>9.7927680987384301E-8</v>
      </c>
      <c r="J253" s="6">
        <v>4.3731795772634701E-4</v>
      </c>
      <c r="K253" s="9">
        <v>1.2503415187638801E-7</v>
      </c>
    </row>
    <row r="254" spans="1:11">
      <c r="A254" s="1" t="s">
        <v>606</v>
      </c>
      <c r="B254" s="1" t="s">
        <v>607</v>
      </c>
      <c r="D254" s="8" t="s">
        <v>607</v>
      </c>
      <c r="E254" s="5">
        <v>-1.09532634892592</v>
      </c>
      <c r="F254" s="5">
        <v>-1.1469701504806</v>
      </c>
      <c r="G254" s="5">
        <v>-1.1232359069806199</v>
      </c>
      <c r="H254" s="5">
        <f t="shared" si="3"/>
        <v>-1.12184413546238</v>
      </c>
      <c r="I254" s="6">
        <v>2.1956211319440799E-6</v>
      </c>
      <c r="J254" s="6">
        <v>2.1614306762235699E-7</v>
      </c>
      <c r="K254" s="9">
        <v>4.3152028648389497E-5</v>
      </c>
    </row>
    <row r="255" spans="1:11">
      <c r="A255" s="1" t="s">
        <v>138</v>
      </c>
      <c r="B255" s="1" t="s">
        <v>139</v>
      </c>
      <c r="D255" s="8" t="s">
        <v>139</v>
      </c>
      <c r="E255" s="5">
        <v>-1.52649176579565</v>
      </c>
      <c r="F255" s="5">
        <v>-1.0275360473802699</v>
      </c>
      <c r="G255" s="5">
        <v>-0.821735930822311</v>
      </c>
      <c r="H255" s="5">
        <f t="shared" si="3"/>
        <v>-1.1252545813327437</v>
      </c>
      <c r="I255" s="6">
        <v>8.2819546277186596E-11</v>
      </c>
      <c r="J255" s="6">
        <v>5.5555596682473198E-5</v>
      </c>
      <c r="K255" s="9">
        <v>1.91195301201329E-4</v>
      </c>
    </row>
    <row r="256" spans="1:11">
      <c r="A256" s="1" t="s">
        <v>40</v>
      </c>
      <c r="B256" s="1" t="s">
        <v>41</v>
      </c>
      <c r="D256" s="8" t="s">
        <v>41</v>
      </c>
      <c r="E256" s="5">
        <v>-1.04986261359171</v>
      </c>
      <c r="F256" s="5">
        <v>-1.16504637467936</v>
      </c>
      <c r="G256" s="5">
        <v>-1.1711450090118201</v>
      </c>
      <c r="H256" s="5">
        <f t="shared" si="3"/>
        <v>-1.1286846657609633</v>
      </c>
      <c r="I256" s="6">
        <v>1.9181649714693401E-5</v>
      </c>
      <c r="J256" s="6">
        <v>5.4342015382467397E-5</v>
      </c>
      <c r="K256" s="9">
        <v>5.3913169385504704E-6</v>
      </c>
    </row>
    <row r="257" spans="1:11">
      <c r="A257" s="1" t="s">
        <v>194</v>
      </c>
      <c r="B257" s="1" t="s">
        <v>195</v>
      </c>
      <c r="D257" s="8" t="s">
        <v>195</v>
      </c>
      <c r="E257" s="5">
        <v>-1.0257011731772501</v>
      </c>
      <c r="F257" s="5">
        <v>-1.49680343921504</v>
      </c>
      <c r="G257" s="5">
        <v>-0.86983765157639303</v>
      </c>
      <c r="H257" s="5">
        <f t="shared" si="3"/>
        <v>-1.1307807546562278</v>
      </c>
      <c r="I257" s="6">
        <v>1.10489628338946E-6</v>
      </c>
      <c r="J257" s="6">
        <v>4.8743956847616103E-12</v>
      </c>
      <c r="K257" s="9">
        <v>3.3829919664585599E-5</v>
      </c>
    </row>
    <row r="258" spans="1:11">
      <c r="A258" s="1" t="s">
        <v>176</v>
      </c>
      <c r="B258" s="1" t="s">
        <v>177</v>
      </c>
      <c r="D258" s="8" t="s">
        <v>177</v>
      </c>
      <c r="E258" s="5">
        <v>-1.1329221009661801</v>
      </c>
      <c r="F258" s="5">
        <v>-1.31829288750637</v>
      </c>
      <c r="G258" s="5">
        <v>-0.95201655961127096</v>
      </c>
      <c r="H258" s="5">
        <f t="shared" ref="H258:H321" si="4">AVERAGE(E258:G258)</f>
        <v>-1.1344105160279405</v>
      </c>
      <c r="I258" s="6">
        <v>2.06010395170077E-7</v>
      </c>
      <c r="J258" s="6">
        <v>1.10924086869658E-9</v>
      </c>
      <c r="K258" s="9">
        <v>4.8387010988741E-5</v>
      </c>
    </row>
    <row r="259" spans="1:11">
      <c r="A259" s="1" t="s">
        <v>626</v>
      </c>
      <c r="B259" s="1" t="s">
        <v>627</v>
      </c>
      <c r="D259" s="8" t="s">
        <v>627</v>
      </c>
      <c r="E259" s="5">
        <v>-1.21366003764863</v>
      </c>
      <c r="F259" s="5">
        <v>-1.38432822092754</v>
      </c>
      <c r="G259" s="5">
        <v>-0.81404018255380195</v>
      </c>
      <c r="H259" s="5">
        <f t="shared" si="4"/>
        <v>-1.1373428137099906</v>
      </c>
      <c r="I259" s="6">
        <v>5.2049826370849499E-9</v>
      </c>
      <c r="J259" s="6">
        <v>3.4408869762833303E-11</v>
      </c>
      <c r="K259" s="9">
        <v>7.9417614800360797E-5</v>
      </c>
    </row>
    <row r="260" spans="1:11">
      <c r="A260" s="1" t="s">
        <v>308</v>
      </c>
      <c r="B260" s="1" t="s">
        <v>309</v>
      </c>
      <c r="D260" s="8" t="s">
        <v>309</v>
      </c>
      <c r="E260" s="5">
        <v>-0.87887261658506699</v>
      </c>
      <c r="F260" s="5">
        <v>-1.42559805783585</v>
      </c>
      <c r="G260" s="5">
        <v>-1.12169458206821</v>
      </c>
      <c r="H260" s="5">
        <f t="shared" si="4"/>
        <v>-1.1420550854963756</v>
      </c>
      <c r="I260" s="6">
        <v>8.6788423540459997E-5</v>
      </c>
      <c r="J260" s="6">
        <v>2.17952529769633E-10</v>
      </c>
      <c r="K260" s="9">
        <v>8.6893039450298901E-7</v>
      </c>
    </row>
    <row r="261" spans="1:11">
      <c r="A261" s="1" t="s">
        <v>666</v>
      </c>
      <c r="B261" s="1" t="s">
        <v>667</v>
      </c>
      <c r="D261" s="8" t="s">
        <v>667</v>
      </c>
      <c r="E261" s="5">
        <v>-1.0857089038916501</v>
      </c>
      <c r="F261" s="5">
        <v>-1.4865882978464999</v>
      </c>
      <c r="G261" s="5">
        <v>-0.86372888418517502</v>
      </c>
      <c r="H261" s="5">
        <f t="shared" si="4"/>
        <v>-1.1453420286411082</v>
      </c>
      <c r="I261" s="6">
        <v>3.2075175017365998E-6</v>
      </c>
      <c r="J261" s="6">
        <v>8.3472918713978696E-10</v>
      </c>
      <c r="K261" s="9">
        <v>4.2260014699577002E-4</v>
      </c>
    </row>
    <row r="262" spans="1:11">
      <c r="A262" s="1" t="s">
        <v>98</v>
      </c>
      <c r="B262" s="1" t="s">
        <v>99</v>
      </c>
      <c r="D262" s="8" t="s">
        <v>99</v>
      </c>
      <c r="E262" s="5">
        <v>-1.1370369475436199</v>
      </c>
      <c r="F262" s="5">
        <v>-0.90732250575774198</v>
      </c>
      <c r="G262" s="5">
        <v>-1.39221422660353</v>
      </c>
      <c r="H262" s="5">
        <f t="shared" si="4"/>
        <v>-1.1455245599682973</v>
      </c>
      <c r="I262" s="6">
        <v>1.7085752205081001E-7</v>
      </c>
      <c r="J262" s="6">
        <v>2.4503760384636101E-5</v>
      </c>
      <c r="K262" s="9">
        <v>8.4032031967747106E-11</v>
      </c>
    </row>
    <row r="263" spans="1:11">
      <c r="A263" s="1" t="s">
        <v>86</v>
      </c>
      <c r="B263" s="1" t="s">
        <v>87</v>
      </c>
      <c r="D263" s="8" t="s">
        <v>87</v>
      </c>
      <c r="E263" s="5">
        <v>-0.86328457562931604</v>
      </c>
      <c r="F263" s="5">
        <v>-1.6099978060273801</v>
      </c>
      <c r="G263" s="5">
        <v>-0.966593197258658</v>
      </c>
      <c r="H263" s="5">
        <f t="shared" si="4"/>
        <v>-1.1466251929717848</v>
      </c>
      <c r="I263" s="6">
        <v>2.2148113537207801E-4</v>
      </c>
      <c r="J263" s="6">
        <v>1.37596922957789E-11</v>
      </c>
      <c r="K263" s="9">
        <v>4.4297553586391798E-4</v>
      </c>
    </row>
    <row r="264" spans="1:11">
      <c r="A264" s="1" t="s">
        <v>132</v>
      </c>
      <c r="B264" s="1" t="s">
        <v>133</v>
      </c>
      <c r="D264" s="8" t="s">
        <v>133</v>
      </c>
      <c r="E264" s="5">
        <v>-1.1619631538194699</v>
      </c>
      <c r="F264" s="5">
        <v>-1.0856555756959201</v>
      </c>
      <c r="G264" s="5">
        <v>-1.21284778189211</v>
      </c>
      <c r="H264" s="5">
        <f t="shared" si="4"/>
        <v>-1.1534888371358332</v>
      </c>
      <c r="I264" s="6">
        <v>2.01051454476625E-6</v>
      </c>
      <c r="J264" s="6">
        <v>6.2808136749689696E-6</v>
      </c>
      <c r="K264" s="9">
        <v>1.80171552548047E-5</v>
      </c>
    </row>
    <row r="265" spans="1:11">
      <c r="A265" s="1" t="s">
        <v>448</v>
      </c>
      <c r="B265" s="1" t="s">
        <v>449</v>
      </c>
      <c r="D265" s="8" t="s">
        <v>449</v>
      </c>
      <c r="E265" s="5">
        <v>-1.2097399054281499</v>
      </c>
      <c r="F265" s="5">
        <v>-1.4443270744013199</v>
      </c>
      <c r="G265" s="5">
        <v>-0.81461219727234702</v>
      </c>
      <c r="H265" s="5">
        <f t="shared" si="4"/>
        <v>-1.1562263923672722</v>
      </c>
      <c r="I265" s="6">
        <v>1.3829571705978299E-7</v>
      </c>
      <c r="J265" s="6">
        <v>1.5654785860542601E-10</v>
      </c>
      <c r="K265" s="9">
        <v>9.2335820359890097E-4</v>
      </c>
    </row>
    <row r="266" spans="1:11">
      <c r="A266" s="1" t="s">
        <v>48</v>
      </c>
      <c r="B266" s="1" t="s">
        <v>49</v>
      </c>
      <c r="D266" s="8" t="s">
        <v>49</v>
      </c>
      <c r="E266" s="5">
        <v>-1.1509507128412999</v>
      </c>
      <c r="F266" s="5">
        <v>-1.64774701362373</v>
      </c>
      <c r="G266" s="5">
        <v>-0.67628281855466199</v>
      </c>
      <c r="H266" s="5">
        <f t="shared" si="4"/>
        <v>-1.1583268483398974</v>
      </c>
      <c r="I266" s="6">
        <v>4.4484848759092697E-6</v>
      </c>
      <c r="J266" s="6">
        <v>2.1252600381009501E-12</v>
      </c>
      <c r="K266" s="9">
        <v>1.7374137353583698E-2</v>
      </c>
    </row>
    <row r="267" spans="1:11">
      <c r="A267" s="1" t="s">
        <v>478</v>
      </c>
      <c r="B267" s="1" t="s">
        <v>479</v>
      </c>
      <c r="D267" s="8" t="s">
        <v>479</v>
      </c>
      <c r="E267" s="5">
        <v>-1.1066306173434</v>
      </c>
      <c r="F267" s="5">
        <v>-1.04229689143771</v>
      </c>
      <c r="G267" s="5">
        <v>-1.4066635934182701</v>
      </c>
      <c r="H267" s="5">
        <f t="shared" si="4"/>
        <v>-1.1851970340664602</v>
      </c>
      <c r="I267" s="6">
        <v>2.0991204033544E-5</v>
      </c>
      <c r="J267" s="6">
        <v>1.7361675455005701E-5</v>
      </c>
      <c r="K267" s="9">
        <v>1.2673609775894499E-6</v>
      </c>
    </row>
    <row r="268" spans="1:11">
      <c r="A268" s="1" t="s">
        <v>116</v>
      </c>
      <c r="B268" s="1" t="s">
        <v>117</v>
      </c>
      <c r="D268" s="8" t="s">
        <v>117</v>
      </c>
      <c r="E268" s="5">
        <v>-1.06659484510527</v>
      </c>
      <c r="F268" s="5">
        <v>-1.25714090013667</v>
      </c>
      <c r="G268" s="5">
        <v>-1.2324695759304001</v>
      </c>
      <c r="H268" s="5">
        <f t="shared" si="4"/>
        <v>-1.1854017737241136</v>
      </c>
      <c r="I268" s="6">
        <v>7.3356140998012797E-6</v>
      </c>
      <c r="J268" s="6">
        <v>1.64223541233814E-7</v>
      </c>
      <c r="K268" s="9">
        <v>4.4825639225309599E-7</v>
      </c>
    </row>
    <row r="269" spans="1:11">
      <c r="A269" s="1" t="s">
        <v>572</v>
      </c>
      <c r="B269" s="1" t="s">
        <v>573</v>
      </c>
      <c r="D269" s="8" t="s">
        <v>573</v>
      </c>
      <c r="E269" s="5">
        <v>-1.1962014579417399</v>
      </c>
      <c r="F269" s="5">
        <v>-1.25136768175539</v>
      </c>
      <c r="G269" s="5">
        <v>-1.13642098249139</v>
      </c>
      <c r="H269" s="5">
        <f t="shared" si="4"/>
        <v>-1.1946633740628398</v>
      </c>
      <c r="I269" s="6">
        <v>6.8180167610538098E-7</v>
      </c>
      <c r="J269" s="6">
        <v>1.38658373288374E-6</v>
      </c>
      <c r="K269" s="9">
        <v>7.7000395487161196E-6</v>
      </c>
    </row>
    <row r="270" spans="1:11">
      <c r="A270" s="1" t="s">
        <v>472</v>
      </c>
      <c r="B270" s="1" t="s">
        <v>473</v>
      </c>
      <c r="D270" s="8" t="s">
        <v>473</v>
      </c>
      <c r="E270" s="5">
        <v>-0.86818811122716399</v>
      </c>
      <c r="F270" s="5">
        <v>-0.68006029508741705</v>
      </c>
      <c r="G270" s="5">
        <v>-2.0534409512419698</v>
      </c>
      <c r="H270" s="5">
        <f t="shared" si="4"/>
        <v>-1.2005631191855171</v>
      </c>
      <c r="I270" s="6">
        <v>9.9225661842194005E-5</v>
      </c>
      <c r="J270" s="6">
        <v>2.1341868504518302E-3</v>
      </c>
      <c r="K270" s="9">
        <v>1.7729931513044899E-16</v>
      </c>
    </row>
    <row r="271" spans="1:11">
      <c r="A271" s="1" t="s">
        <v>490</v>
      </c>
      <c r="B271" s="1" t="s">
        <v>491</v>
      </c>
      <c r="D271" s="8" t="s">
        <v>491</v>
      </c>
      <c r="E271" s="5">
        <v>-1.1506305158718899</v>
      </c>
      <c r="F271" s="5">
        <v>-1.63037096872626</v>
      </c>
      <c r="G271" s="5">
        <v>-0.82162220119669804</v>
      </c>
      <c r="H271" s="5">
        <f t="shared" si="4"/>
        <v>-1.2008745619316159</v>
      </c>
      <c r="I271" s="6">
        <v>4.6525262319239299E-8</v>
      </c>
      <c r="J271" s="6">
        <v>2.3445911064491801E-14</v>
      </c>
      <c r="K271" s="9">
        <v>1.3413178476295301E-4</v>
      </c>
    </row>
    <row r="272" spans="1:11">
      <c r="A272" s="1" t="s">
        <v>602</v>
      </c>
      <c r="B272" s="1" t="s">
        <v>603</v>
      </c>
      <c r="D272" s="8" t="s">
        <v>603</v>
      </c>
      <c r="E272" s="5">
        <v>-1.4630328301423801</v>
      </c>
      <c r="F272" s="5">
        <v>-1.1044418997760701</v>
      </c>
      <c r="G272" s="5">
        <v>-1.0433964074342601</v>
      </c>
      <c r="H272" s="5">
        <f t="shared" si="4"/>
        <v>-1.2036237124509033</v>
      </c>
      <c r="I272" s="6">
        <v>3.5221257048851101E-7</v>
      </c>
      <c r="J272" s="6">
        <v>3.4677399476444598E-4</v>
      </c>
      <c r="K272" s="9">
        <v>2.4685408465190801E-5</v>
      </c>
    </row>
    <row r="273" spans="1:11">
      <c r="A273" s="1" t="s">
        <v>292</v>
      </c>
      <c r="B273" s="1" t="s">
        <v>293</v>
      </c>
      <c r="D273" s="8" t="s">
        <v>293</v>
      </c>
      <c r="E273" s="5">
        <v>-0.852230582529794</v>
      </c>
      <c r="F273" s="5">
        <v>-1.05481720416799</v>
      </c>
      <c r="G273" s="5">
        <v>-1.7057681732794301</v>
      </c>
      <c r="H273" s="5">
        <f t="shared" si="4"/>
        <v>-1.2042719866590714</v>
      </c>
      <c r="I273" s="6">
        <v>8.7381138599101294E-5</v>
      </c>
      <c r="J273" s="6">
        <v>1.52677122333109E-6</v>
      </c>
      <c r="K273" s="9">
        <v>4.9236917449661001E-15</v>
      </c>
    </row>
    <row r="274" spans="1:11">
      <c r="A274" s="1" t="s">
        <v>550</v>
      </c>
      <c r="B274" s="1" t="s">
        <v>551</v>
      </c>
      <c r="D274" s="8" t="s">
        <v>551</v>
      </c>
      <c r="E274" s="5">
        <v>-0.886903273461359</v>
      </c>
      <c r="F274" s="5">
        <v>-1.03717247366127</v>
      </c>
      <c r="G274" s="5">
        <v>-1.6930511030120401</v>
      </c>
      <c r="H274" s="5">
        <f t="shared" si="4"/>
        <v>-1.2057089500448896</v>
      </c>
      <c r="I274" s="6">
        <v>1.0416419131758301E-4</v>
      </c>
      <c r="J274" s="6">
        <v>5.1369122352445201E-6</v>
      </c>
      <c r="K274" s="9">
        <v>3.0769743013353899E-13</v>
      </c>
    </row>
    <row r="275" spans="1:11">
      <c r="A275" s="1" t="s">
        <v>394</v>
      </c>
      <c r="B275" s="1" t="s">
        <v>395</v>
      </c>
      <c r="D275" s="8" t="s">
        <v>395</v>
      </c>
      <c r="E275" s="5">
        <v>-1.26082927263655</v>
      </c>
      <c r="F275" s="5">
        <v>-1.35988182233165</v>
      </c>
      <c r="G275" s="5">
        <v>-1.0055143181996999</v>
      </c>
      <c r="H275" s="5">
        <f t="shared" si="4"/>
        <v>-1.2087418043892999</v>
      </c>
      <c r="I275" s="6">
        <v>4.1558177306663496E-6</v>
      </c>
      <c r="J275" s="6">
        <v>2.7499246710734202E-8</v>
      </c>
      <c r="K275" s="9">
        <v>5.2127121427304095E-4</v>
      </c>
    </row>
    <row r="276" spans="1:11">
      <c r="A276" s="1" t="s">
        <v>596</v>
      </c>
      <c r="B276" s="1" t="s">
        <v>597</v>
      </c>
      <c r="D276" s="8" t="s">
        <v>597</v>
      </c>
      <c r="E276" s="5">
        <v>-1.3224625070354199</v>
      </c>
      <c r="F276" s="5">
        <v>-0.97448513306791695</v>
      </c>
      <c r="G276" s="5">
        <v>-1.3549878937091799</v>
      </c>
      <c r="H276" s="5">
        <f t="shared" si="4"/>
        <v>-1.2173118446041722</v>
      </c>
      <c r="I276" s="6">
        <v>2.3546194623432699E-7</v>
      </c>
      <c r="J276" s="6">
        <v>9.6828616624514596E-4</v>
      </c>
      <c r="K276" s="9">
        <v>4.7926528829332597E-8</v>
      </c>
    </row>
    <row r="277" spans="1:11">
      <c r="A277" s="1" t="s">
        <v>576</v>
      </c>
      <c r="B277" s="1" t="s">
        <v>577</v>
      </c>
      <c r="D277" s="8" t="s">
        <v>577</v>
      </c>
      <c r="E277" s="5">
        <v>-1.1667504552435899</v>
      </c>
      <c r="F277" s="5">
        <v>-1.1832587249614299</v>
      </c>
      <c r="G277" s="5">
        <v>-1.3305220175185699</v>
      </c>
      <c r="H277" s="5">
        <f t="shared" si="4"/>
        <v>-1.2268437325745298</v>
      </c>
      <c r="I277" s="6">
        <v>4.2730374129997501E-8</v>
      </c>
      <c r="J277" s="6">
        <v>4.10333390020184E-8</v>
      </c>
      <c r="K277" s="9">
        <v>1.08166504180178E-9</v>
      </c>
    </row>
    <row r="278" spans="1:11">
      <c r="A278" s="1" t="s">
        <v>592</v>
      </c>
      <c r="B278" s="1" t="s">
        <v>593</v>
      </c>
      <c r="D278" s="8" t="s">
        <v>593</v>
      </c>
      <c r="E278" s="5">
        <v>-1.16203262020304</v>
      </c>
      <c r="F278" s="5">
        <v>-1.12773363063073</v>
      </c>
      <c r="G278" s="5">
        <v>-1.40833441256493</v>
      </c>
      <c r="H278" s="5">
        <f t="shared" si="4"/>
        <v>-1.2327002211328999</v>
      </c>
      <c r="I278" s="6">
        <v>4.2935320994538201E-6</v>
      </c>
      <c r="J278" s="6">
        <v>2.4683299389538499E-6</v>
      </c>
      <c r="K278" s="9">
        <v>1.9482127701499002E-8</v>
      </c>
    </row>
    <row r="279" spans="1:11">
      <c r="A279" s="1" t="s">
        <v>614</v>
      </c>
      <c r="B279" s="1" t="s">
        <v>615</v>
      </c>
      <c r="D279" s="8" t="s">
        <v>615</v>
      </c>
      <c r="E279" s="5">
        <v>-0.90069156221126501</v>
      </c>
      <c r="F279" s="5">
        <v>-1.5006694856404901</v>
      </c>
      <c r="G279" s="5">
        <v>-1.3140255315096101</v>
      </c>
      <c r="H279" s="5">
        <f t="shared" si="4"/>
        <v>-1.2384621931204551</v>
      </c>
      <c r="I279" s="6">
        <v>1.9517773100235399E-4</v>
      </c>
      <c r="J279" s="6">
        <v>4.1894509059858199E-10</v>
      </c>
      <c r="K279" s="9">
        <v>3.4196791332818702E-8</v>
      </c>
    </row>
    <row r="280" spans="1:11">
      <c r="A280" s="1" t="s">
        <v>80</v>
      </c>
      <c r="B280" s="1" t="s">
        <v>81</v>
      </c>
      <c r="D280" s="8" t="s">
        <v>81</v>
      </c>
      <c r="E280" s="5">
        <v>-1.2054938543109699</v>
      </c>
      <c r="F280" s="5">
        <v>-0.99594556807435697</v>
      </c>
      <c r="G280" s="5">
        <v>-1.54099405614881</v>
      </c>
      <c r="H280" s="5">
        <f t="shared" si="4"/>
        <v>-1.2474778261780457</v>
      </c>
      <c r="I280" s="6">
        <v>1.6356910015868701E-6</v>
      </c>
      <c r="J280" s="6">
        <v>5.9744782969919601E-5</v>
      </c>
      <c r="K280" s="9">
        <v>8.2321901647452396E-9</v>
      </c>
    </row>
    <row r="281" spans="1:11">
      <c r="A281" s="1" t="s">
        <v>344</v>
      </c>
      <c r="B281" s="1" t="s">
        <v>345</v>
      </c>
      <c r="D281" s="8" t="s">
        <v>345</v>
      </c>
      <c r="E281" s="5">
        <v>-1.11799351853343</v>
      </c>
      <c r="F281" s="5">
        <v>-1.23633511634423</v>
      </c>
      <c r="G281" s="5">
        <v>-1.4134840179567101</v>
      </c>
      <c r="H281" s="5">
        <f t="shared" si="4"/>
        <v>-1.2559375509447899</v>
      </c>
      <c r="I281" s="6">
        <v>8.4989168203102196E-6</v>
      </c>
      <c r="J281" s="6">
        <v>1.50380894978315E-7</v>
      </c>
      <c r="K281" s="9">
        <v>2.39639676610042E-9</v>
      </c>
    </row>
    <row r="282" spans="1:11">
      <c r="A282" s="1" t="s">
        <v>378</v>
      </c>
      <c r="B282" s="1" t="s">
        <v>379</v>
      </c>
      <c r="D282" s="8" t="s">
        <v>379</v>
      </c>
      <c r="E282" s="5">
        <v>-1.0831078872406601</v>
      </c>
      <c r="F282" s="5">
        <v>-1.52645199810054</v>
      </c>
      <c r="G282" s="5">
        <v>-1.16113775968427</v>
      </c>
      <c r="H282" s="5">
        <f t="shared" si="4"/>
        <v>-1.2568992150084901</v>
      </c>
      <c r="I282" s="6">
        <v>1.82346661037537E-5</v>
      </c>
      <c r="J282" s="6">
        <v>3.87399330015785E-9</v>
      </c>
      <c r="K282" s="9">
        <v>1.9641414825859901E-5</v>
      </c>
    </row>
    <row r="283" spans="1:11">
      <c r="A283" s="1" t="s">
        <v>2</v>
      </c>
      <c r="B283" s="1" t="s">
        <v>3</v>
      </c>
      <c r="D283" s="8" t="s">
        <v>3</v>
      </c>
      <c r="E283" s="5">
        <v>-1.1503428404585201</v>
      </c>
      <c r="F283" s="5">
        <v>-1.35594451261117</v>
      </c>
      <c r="G283" s="5">
        <v>-1.2716437767916899</v>
      </c>
      <c r="H283" s="5">
        <f t="shared" si="4"/>
        <v>-1.2593103766204601</v>
      </c>
      <c r="I283" s="6">
        <v>2.9333065645576899E-4</v>
      </c>
      <c r="J283" s="6">
        <v>1.04757089863571E-4</v>
      </c>
      <c r="K283" s="9">
        <v>2.5750120134163599E-5</v>
      </c>
    </row>
    <row r="284" spans="1:11">
      <c r="A284" s="1" t="s">
        <v>120</v>
      </c>
      <c r="B284" s="1" t="s">
        <v>121</v>
      </c>
      <c r="D284" s="8" t="s">
        <v>121</v>
      </c>
      <c r="E284" s="5">
        <v>-0.94356130669346305</v>
      </c>
      <c r="F284" s="5">
        <v>-1.76047747962637</v>
      </c>
      <c r="G284" s="5">
        <v>-1.0778793148749899</v>
      </c>
      <c r="H284" s="5">
        <f t="shared" si="4"/>
        <v>-1.260639367064941</v>
      </c>
      <c r="I284" s="6">
        <v>1.7131909831663401E-5</v>
      </c>
      <c r="J284" s="6">
        <v>3.7297274951774498E-14</v>
      </c>
      <c r="K284" s="9">
        <v>1.9294185648665002E-5</v>
      </c>
    </row>
    <row r="285" spans="1:11">
      <c r="A285" s="1" t="s">
        <v>92</v>
      </c>
      <c r="B285" s="1" t="s">
        <v>93</v>
      </c>
      <c r="D285" s="8" t="s">
        <v>93</v>
      </c>
      <c r="E285" s="5">
        <v>-0.84076889955979495</v>
      </c>
      <c r="F285" s="5">
        <v>-1.5809612325906499</v>
      </c>
      <c r="G285" s="5">
        <v>-1.45377354794139</v>
      </c>
      <c r="H285" s="5">
        <f t="shared" si="4"/>
        <v>-1.2918345600306116</v>
      </c>
      <c r="I285" s="6">
        <v>2.0230176455512201E-4</v>
      </c>
      <c r="J285" s="6">
        <v>1.28496456449726E-11</v>
      </c>
      <c r="K285" s="9">
        <v>4.92685969344883E-10</v>
      </c>
    </row>
    <row r="286" spans="1:11">
      <c r="A286" s="1" t="s">
        <v>648</v>
      </c>
      <c r="B286" s="1" t="s">
        <v>649</v>
      </c>
      <c r="D286" s="8" t="s">
        <v>649</v>
      </c>
      <c r="E286" s="5">
        <v>-1.05527932995537</v>
      </c>
      <c r="F286" s="5">
        <v>-1.25252955155899</v>
      </c>
      <c r="G286" s="5">
        <v>-1.59341196899126</v>
      </c>
      <c r="H286" s="5">
        <f t="shared" si="4"/>
        <v>-1.30040695016854</v>
      </c>
      <c r="I286" s="6">
        <v>6.2034616433525002E-5</v>
      </c>
      <c r="J286" s="6">
        <v>1.25554200461368E-6</v>
      </c>
      <c r="K286" s="9">
        <v>5.2597293904966297E-8</v>
      </c>
    </row>
    <row r="287" spans="1:11">
      <c r="A287" s="1" t="s">
        <v>402</v>
      </c>
      <c r="B287" s="1" t="s">
        <v>403</v>
      </c>
      <c r="D287" s="8" t="s">
        <v>403</v>
      </c>
      <c r="E287" s="5">
        <v>-1.0360499805455701</v>
      </c>
      <c r="F287" s="5">
        <v>-1.7844979231489599</v>
      </c>
      <c r="G287" s="5">
        <v>-1.0939792871305001</v>
      </c>
      <c r="H287" s="5">
        <f t="shared" si="4"/>
        <v>-1.3048423969416767</v>
      </c>
      <c r="I287" s="6">
        <v>5.6207627975501398E-5</v>
      </c>
      <c r="J287" s="6">
        <v>1.11957116628469E-13</v>
      </c>
      <c r="K287" s="9">
        <v>6.2594865194064698E-5</v>
      </c>
    </row>
    <row r="288" spans="1:11">
      <c r="A288" s="1" t="s">
        <v>88</v>
      </c>
      <c r="B288" s="1" t="s">
        <v>89</v>
      </c>
      <c r="D288" s="8" t="s">
        <v>89</v>
      </c>
      <c r="E288" s="5">
        <v>-1.02544863022757</v>
      </c>
      <c r="F288" s="5">
        <v>-2.0288035770847199</v>
      </c>
      <c r="G288" s="5">
        <v>-0.90185181846041895</v>
      </c>
      <c r="H288" s="5">
        <f t="shared" si="4"/>
        <v>-1.3187013419242364</v>
      </c>
      <c r="I288" s="6">
        <v>1.2585047362212201E-4</v>
      </c>
      <c r="J288" s="6">
        <v>8.2674294809910498E-13</v>
      </c>
      <c r="K288" s="9">
        <v>2.1957816230854999E-4</v>
      </c>
    </row>
    <row r="289" spans="1:11">
      <c r="A289" s="1" t="s">
        <v>390</v>
      </c>
      <c r="B289" s="1" t="s">
        <v>391</v>
      </c>
      <c r="D289" s="8" t="s">
        <v>391</v>
      </c>
      <c r="E289" s="5">
        <v>-1.20899781419302</v>
      </c>
      <c r="F289" s="5">
        <v>-1.1977229301530501</v>
      </c>
      <c r="G289" s="5">
        <v>-1.5701341468321499</v>
      </c>
      <c r="H289" s="5">
        <f t="shared" si="4"/>
        <v>-1.3256182970594066</v>
      </c>
      <c r="I289" s="6">
        <v>3.58731534646266E-5</v>
      </c>
      <c r="J289" s="6">
        <v>1.0310158706674301E-5</v>
      </c>
      <c r="K289" s="9">
        <v>4.69345767658834E-5</v>
      </c>
    </row>
    <row r="290" spans="1:11">
      <c r="A290" s="1" t="s">
        <v>430</v>
      </c>
      <c r="B290" s="1" t="s">
        <v>431</v>
      </c>
      <c r="D290" s="8" t="s">
        <v>431</v>
      </c>
      <c r="E290" s="5">
        <v>-1.3991434921904999</v>
      </c>
      <c r="F290" s="5">
        <v>-1.2213901566096901</v>
      </c>
      <c r="G290" s="5">
        <v>-1.3881986478933299</v>
      </c>
      <c r="H290" s="5">
        <f t="shared" si="4"/>
        <v>-1.3362440988978399</v>
      </c>
      <c r="I290" s="6">
        <v>4.6831599852208497E-8</v>
      </c>
      <c r="J290" s="6">
        <v>1.9201632135826601E-6</v>
      </c>
      <c r="K290" s="9">
        <v>3.3912970445155999E-6</v>
      </c>
    </row>
    <row r="291" spans="1:11">
      <c r="A291" s="1" t="s">
        <v>412</v>
      </c>
      <c r="B291" s="1" t="s">
        <v>413</v>
      </c>
      <c r="D291" s="8" t="s">
        <v>413</v>
      </c>
      <c r="E291" s="5">
        <v>-1.42751950761865</v>
      </c>
      <c r="F291" s="5">
        <v>-1.1765791867597899</v>
      </c>
      <c r="G291" s="5">
        <v>-1.41939828446331</v>
      </c>
      <c r="H291" s="5">
        <f t="shared" si="4"/>
        <v>-1.3411656596139165</v>
      </c>
      <c r="I291" s="6">
        <v>5.8437729088394097E-9</v>
      </c>
      <c r="J291" s="6">
        <v>6.1086299291857601E-6</v>
      </c>
      <c r="K291" s="9">
        <v>8.9301818592571195E-10</v>
      </c>
    </row>
    <row r="292" spans="1:11">
      <c r="A292" s="1" t="s">
        <v>264</v>
      </c>
      <c r="B292" s="1" t="s">
        <v>265</v>
      </c>
      <c r="D292" s="8" t="s">
        <v>265</v>
      </c>
      <c r="E292" s="5">
        <v>-1.7321722763038301</v>
      </c>
      <c r="F292" s="5">
        <v>-1.23520966341482</v>
      </c>
      <c r="G292" s="5">
        <v>-1.09272912924846</v>
      </c>
      <c r="H292" s="5">
        <f t="shared" si="4"/>
        <v>-1.35337035632237</v>
      </c>
      <c r="I292" s="6">
        <v>8.3805196777000397E-11</v>
      </c>
      <c r="J292" s="6">
        <v>2.0752410424561599E-5</v>
      </c>
      <c r="K292" s="9">
        <v>3.7789177984775302E-5</v>
      </c>
    </row>
    <row r="293" spans="1:11">
      <c r="A293" s="1" t="s">
        <v>404</v>
      </c>
      <c r="B293" s="1" t="s">
        <v>405</v>
      </c>
      <c r="D293" s="8" t="s">
        <v>405</v>
      </c>
      <c r="E293" s="5">
        <v>-1.1488561864976901</v>
      </c>
      <c r="F293" s="5">
        <v>-1.69493404711614</v>
      </c>
      <c r="G293" s="5">
        <v>-1.22736438082233</v>
      </c>
      <c r="H293" s="5">
        <f t="shared" si="4"/>
        <v>-1.3570515381453865</v>
      </c>
      <c r="I293" s="6">
        <v>1.9736778352006401E-6</v>
      </c>
      <c r="J293" s="6">
        <v>2.82652212629311E-11</v>
      </c>
      <c r="K293" s="9">
        <v>6.6979317385312697E-6</v>
      </c>
    </row>
    <row r="294" spans="1:11">
      <c r="A294" s="1" t="s">
        <v>502</v>
      </c>
      <c r="B294" s="1" t="s">
        <v>503</v>
      </c>
      <c r="D294" s="8" t="s">
        <v>503</v>
      </c>
      <c r="E294" s="5">
        <v>-0.97861380544248799</v>
      </c>
      <c r="F294" s="5">
        <v>-1.6452189414575999</v>
      </c>
      <c r="G294" s="5">
        <v>-1.47482313953224</v>
      </c>
      <c r="H294" s="5">
        <f t="shared" si="4"/>
        <v>-1.3662186288107758</v>
      </c>
      <c r="I294" s="6">
        <v>4.1314816890198902E-5</v>
      </c>
      <c r="J294" s="6">
        <v>3.1340505300451501E-12</v>
      </c>
      <c r="K294" s="9">
        <v>5.3741033509046802E-8</v>
      </c>
    </row>
    <row r="295" spans="1:11">
      <c r="A295" s="1" t="s">
        <v>262</v>
      </c>
      <c r="B295" s="1" t="s">
        <v>263</v>
      </c>
      <c r="D295" s="8" t="s">
        <v>263</v>
      </c>
      <c r="E295" s="5">
        <v>-1.0632652408366301</v>
      </c>
      <c r="F295" s="5">
        <v>-1.7674504581724599</v>
      </c>
      <c r="G295" s="5">
        <v>-1.27131105950185</v>
      </c>
      <c r="H295" s="5">
        <f t="shared" si="4"/>
        <v>-1.3673422528369799</v>
      </c>
      <c r="I295" s="6">
        <v>3.0983874042761102E-6</v>
      </c>
      <c r="J295" s="6">
        <v>4.4086244977050401E-14</v>
      </c>
      <c r="K295" s="9">
        <v>1.6344681653172701E-7</v>
      </c>
    </row>
    <row r="296" spans="1:11">
      <c r="A296" s="1" t="s">
        <v>272</v>
      </c>
      <c r="B296" s="1" t="s">
        <v>273</v>
      </c>
      <c r="D296" s="8" t="s">
        <v>273</v>
      </c>
      <c r="E296" s="5">
        <v>-1.12019012833413</v>
      </c>
      <c r="F296" s="5">
        <v>-1.5186065990942601</v>
      </c>
      <c r="G296" s="5">
        <v>-1.48463841936331</v>
      </c>
      <c r="H296" s="5">
        <f t="shared" si="4"/>
        <v>-1.3744783822639002</v>
      </c>
      <c r="I296" s="6">
        <v>9.1331531123698496E-7</v>
      </c>
      <c r="J296" s="6">
        <v>4.4921539848952199E-10</v>
      </c>
      <c r="K296" s="9">
        <v>6.1176565196659896E-10</v>
      </c>
    </row>
    <row r="297" spans="1:11">
      <c r="A297" s="1" t="s">
        <v>298</v>
      </c>
      <c r="B297" s="1" t="s">
        <v>299</v>
      </c>
      <c r="D297" s="8" t="s">
        <v>299</v>
      </c>
      <c r="E297" s="5">
        <v>-1.110664303556</v>
      </c>
      <c r="F297" s="5">
        <v>-1.00759612503838</v>
      </c>
      <c r="G297" s="5">
        <v>-2.0710579591521401</v>
      </c>
      <c r="H297" s="5">
        <f t="shared" si="4"/>
        <v>-1.3964394625821732</v>
      </c>
      <c r="I297" s="6">
        <v>9.6961444332149405E-6</v>
      </c>
      <c r="J297" s="6">
        <v>1.6835010765777901E-5</v>
      </c>
      <c r="K297" s="9">
        <v>4.9365856266637096E-13</v>
      </c>
    </row>
    <row r="298" spans="1:11">
      <c r="A298" s="1" t="s">
        <v>100</v>
      </c>
      <c r="B298" s="1" t="s">
        <v>101</v>
      </c>
      <c r="D298" s="8" t="s">
        <v>101</v>
      </c>
      <c r="E298" s="5">
        <v>-1.0651466189230401</v>
      </c>
      <c r="F298" s="5">
        <v>-1.94998473269358</v>
      </c>
      <c r="G298" s="5">
        <v>-1.1834032239480201</v>
      </c>
      <c r="H298" s="5">
        <f t="shared" si="4"/>
        <v>-1.3995115251882133</v>
      </c>
      <c r="I298" s="6">
        <v>2.24618805494214E-5</v>
      </c>
      <c r="J298" s="6">
        <v>1.06325380563949E-14</v>
      </c>
      <c r="K298" s="9">
        <v>7.6224119409353994E-5</v>
      </c>
    </row>
    <row r="299" spans="1:11">
      <c r="A299" s="1" t="s">
        <v>514</v>
      </c>
      <c r="B299" s="1" t="s">
        <v>515</v>
      </c>
      <c r="D299" s="8" t="s">
        <v>515</v>
      </c>
      <c r="E299" s="5">
        <v>-1.0427370261439799</v>
      </c>
      <c r="F299" s="5">
        <v>-1.6141704447037599</v>
      </c>
      <c r="G299" s="5">
        <v>-1.5723688067680099</v>
      </c>
      <c r="H299" s="5">
        <f t="shared" si="4"/>
        <v>-1.4097587592052498</v>
      </c>
      <c r="I299" s="6">
        <v>1.26054829062139E-6</v>
      </c>
      <c r="J299" s="6">
        <v>1.600946466092E-13</v>
      </c>
      <c r="K299" s="9">
        <v>2.2707472823795001E-11</v>
      </c>
    </row>
    <row r="300" spans="1:11">
      <c r="A300" s="1" t="s">
        <v>122</v>
      </c>
      <c r="B300" s="1" t="s">
        <v>123</v>
      </c>
      <c r="D300" s="8" t="s">
        <v>123</v>
      </c>
      <c r="E300" s="5">
        <v>-1.2583129231731001</v>
      </c>
      <c r="F300" s="5">
        <v>-1.5015423852374301</v>
      </c>
      <c r="G300" s="5">
        <v>-1.5010079494998001</v>
      </c>
      <c r="H300" s="5">
        <f t="shared" si="4"/>
        <v>-1.4202877526367768</v>
      </c>
      <c r="I300" s="6">
        <v>5.5601410536160898E-8</v>
      </c>
      <c r="J300" s="6">
        <v>9.4591577185520603E-11</v>
      </c>
      <c r="K300" s="9">
        <v>2.5503031725083901E-9</v>
      </c>
    </row>
    <row r="301" spans="1:11">
      <c r="A301" s="1" t="s">
        <v>310</v>
      </c>
      <c r="B301" s="1" t="s">
        <v>311</v>
      </c>
      <c r="D301" s="8" t="s">
        <v>311</v>
      </c>
      <c r="E301" s="5">
        <v>-1.7279064867503999</v>
      </c>
      <c r="F301" s="5">
        <v>-0.77759116131809702</v>
      </c>
      <c r="G301" s="5">
        <v>-1.76549269502337</v>
      </c>
      <c r="H301" s="5">
        <f t="shared" si="4"/>
        <v>-1.4236634476972891</v>
      </c>
      <c r="I301" s="6">
        <v>2.86930102742671E-9</v>
      </c>
      <c r="J301" s="6">
        <v>7.0451708219958498E-3</v>
      </c>
      <c r="K301" s="9">
        <v>8.5438452647238996E-10</v>
      </c>
    </row>
    <row r="302" spans="1:11">
      <c r="A302" s="1" t="s">
        <v>180</v>
      </c>
      <c r="B302" s="1" t="s">
        <v>181</v>
      </c>
      <c r="D302" s="8" t="s">
        <v>181</v>
      </c>
      <c r="E302" s="5">
        <v>-1.0687507521502799</v>
      </c>
      <c r="F302" s="5">
        <v>-1.8669094281644401</v>
      </c>
      <c r="G302" s="5">
        <v>-1.3607114624907199</v>
      </c>
      <c r="H302" s="5">
        <f t="shared" si="4"/>
        <v>-1.4321238809351466</v>
      </c>
      <c r="I302" s="6">
        <v>2.5729736263407101E-6</v>
      </c>
      <c r="J302" s="6">
        <v>8.7566415868394399E-14</v>
      </c>
      <c r="K302" s="9">
        <v>2.93055686066525E-9</v>
      </c>
    </row>
    <row r="303" spans="1:11">
      <c r="A303" s="1" t="s">
        <v>504</v>
      </c>
      <c r="B303" s="1" t="s">
        <v>505</v>
      </c>
      <c r="D303" s="8" t="s">
        <v>505</v>
      </c>
      <c r="E303" s="5">
        <v>-0.92817166990255096</v>
      </c>
      <c r="F303" s="5">
        <v>-1.7882034808612199</v>
      </c>
      <c r="G303" s="5">
        <v>-1.62523214194132</v>
      </c>
      <c r="H303" s="5">
        <f t="shared" si="4"/>
        <v>-1.4472024309016971</v>
      </c>
      <c r="I303" s="6">
        <v>1.21249463258377E-4</v>
      </c>
      <c r="J303" s="6">
        <v>2.3706001611816802E-12</v>
      </c>
      <c r="K303" s="9">
        <v>2.43171393979636E-11</v>
      </c>
    </row>
    <row r="304" spans="1:11">
      <c r="A304" s="1" t="s">
        <v>136</v>
      </c>
      <c r="B304" s="1" t="s">
        <v>137</v>
      </c>
      <c r="D304" s="8" t="s">
        <v>137</v>
      </c>
      <c r="E304" s="5">
        <v>-1.39970403135465</v>
      </c>
      <c r="F304" s="5">
        <v>-1.3685755888367901</v>
      </c>
      <c r="G304" s="5">
        <v>-1.5735893155949301</v>
      </c>
      <c r="H304" s="5">
        <f t="shared" si="4"/>
        <v>-1.4472896452621233</v>
      </c>
      <c r="I304" s="6">
        <v>8.9122887540048506E-11</v>
      </c>
      <c r="J304" s="6">
        <v>2.1518991857263201E-10</v>
      </c>
      <c r="K304" s="9">
        <v>1.5256445824890599E-11</v>
      </c>
    </row>
    <row r="305" spans="1:11">
      <c r="A305" s="1" t="s">
        <v>652</v>
      </c>
      <c r="B305" s="1" t="s">
        <v>653</v>
      </c>
      <c r="D305" s="8" t="s">
        <v>653</v>
      </c>
      <c r="E305" s="5">
        <v>-1.59398307852331</v>
      </c>
      <c r="F305" s="5">
        <v>-1.58056805482174</v>
      </c>
      <c r="G305" s="5">
        <v>-1.2123949078737599</v>
      </c>
      <c r="H305" s="5">
        <f t="shared" si="4"/>
        <v>-1.4623153470729366</v>
      </c>
      <c r="I305" s="6">
        <v>9.9471387157635098E-11</v>
      </c>
      <c r="J305" s="6">
        <v>2.7615844376986001E-10</v>
      </c>
      <c r="K305" s="9">
        <v>1.1047145104786701E-6</v>
      </c>
    </row>
    <row r="306" spans="1:11">
      <c r="A306" s="1" t="s">
        <v>312</v>
      </c>
      <c r="B306" s="1" t="s">
        <v>313</v>
      </c>
      <c r="D306" s="8" t="s">
        <v>313</v>
      </c>
      <c r="E306" s="5">
        <v>-1.1231770800690899</v>
      </c>
      <c r="F306" s="5">
        <v>-1.45775407393187</v>
      </c>
      <c r="G306" s="5">
        <v>-1.84201277153204</v>
      </c>
      <c r="H306" s="5">
        <f t="shared" si="4"/>
        <v>-1.4743146418443331</v>
      </c>
      <c r="I306" s="6">
        <v>4.3868762934228299E-7</v>
      </c>
      <c r="J306" s="6">
        <v>8.8814398208151698E-11</v>
      </c>
      <c r="K306" s="9">
        <v>3.3382614791455801E-15</v>
      </c>
    </row>
    <row r="307" spans="1:11">
      <c r="A307" s="1" t="s">
        <v>296</v>
      </c>
      <c r="B307" s="1" t="s">
        <v>297</v>
      </c>
      <c r="D307" s="8" t="s">
        <v>297</v>
      </c>
      <c r="E307" s="5">
        <v>-1.1237068533052901</v>
      </c>
      <c r="F307" s="5">
        <v>-1.67884121641666</v>
      </c>
      <c r="G307" s="5">
        <v>-1.6424019115809501</v>
      </c>
      <c r="H307" s="5">
        <f t="shared" si="4"/>
        <v>-1.4816499937676333</v>
      </c>
      <c r="I307" s="6">
        <v>1.68602476037464E-6</v>
      </c>
      <c r="J307" s="6">
        <v>5.6220142148317202E-12</v>
      </c>
      <c r="K307" s="9">
        <v>4.4259270437271798E-11</v>
      </c>
    </row>
    <row r="308" spans="1:11">
      <c r="A308" s="1" t="s">
        <v>630</v>
      </c>
      <c r="B308" s="1" t="s">
        <v>631</v>
      </c>
      <c r="D308" s="8" t="s">
        <v>631</v>
      </c>
      <c r="E308" s="5">
        <v>-1.76291687147815</v>
      </c>
      <c r="F308" s="5">
        <v>-1.6636629012731301</v>
      </c>
      <c r="G308" s="5">
        <v>-1.02013208707655</v>
      </c>
      <c r="H308" s="5">
        <f t="shared" si="4"/>
        <v>-1.4822372866092766</v>
      </c>
      <c r="I308" s="6">
        <v>8.5537081627886902E-10</v>
      </c>
      <c r="J308" s="6">
        <v>1.0097967727540701E-8</v>
      </c>
      <c r="K308" s="9">
        <v>1.0185296226369401E-4</v>
      </c>
    </row>
    <row r="309" spans="1:11">
      <c r="A309" s="1" t="s">
        <v>352</v>
      </c>
      <c r="B309" s="1" t="s">
        <v>353</v>
      </c>
      <c r="D309" s="8" t="s">
        <v>353</v>
      </c>
      <c r="E309" s="5">
        <v>-2.1793019975291599</v>
      </c>
      <c r="F309" s="5">
        <v>-1.00511900160495</v>
      </c>
      <c r="G309" s="5">
        <v>-1.26936813111969</v>
      </c>
      <c r="H309" s="5">
        <f t="shared" si="4"/>
        <v>-1.4845963767512667</v>
      </c>
      <c r="I309" s="6">
        <v>6.1230745821122003E-22</v>
      </c>
      <c r="J309" s="6">
        <v>1.9569306420125302E-5</v>
      </c>
      <c r="K309" s="9">
        <v>5.0202733497887099E-8</v>
      </c>
    </row>
    <row r="310" spans="1:11">
      <c r="A310" s="1" t="s">
        <v>568</v>
      </c>
      <c r="B310" s="1" t="s">
        <v>569</v>
      </c>
      <c r="D310" s="8" t="s">
        <v>569</v>
      </c>
      <c r="E310" s="5">
        <v>-1.1902208419654301</v>
      </c>
      <c r="F310" s="5">
        <v>-1.4436212720580499</v>
      </c>
      <c r="G310" s="5">
        <v>-1.8363822575301101</v>
      </c>
      <c r="H310" s="5">
        <f t="shared" si="4"/>
        <v>-1.4900747905178633</v>
      </c>
      <c r="I310" s="6">
        <v>2.3699737382779499E-7</v>
      </c>
      <c r="J310" s="6">
        <v>1.6761355325617499E-9</v>
      </c>
      <c r="K310" s="9">
        <v>8.2250246321457999E-16</v>
      </c>
    </row>
    <row r="311" spans="1:11">
      <c r="A311" s="1" t="s">
        <v>510</v>
      </c>
      <c r="B311" s="1" t="s">
        <v>511</v>
      </c>
      <c r="D311" s="8" t="s">
        <v>511</v>
      </c>
      <c r="E311" s="5">
        <v>-1.3709373624785</v>
      </c>
      <c r="F311" s="5">
        <v>-1.79949081700928</v>
      </c>
      <c r="G311" s="5">
        <v>-1.30905722376107</v>
      </c>
      <c r="H311" s="5">
        <f t="shared" si="4"/>
        <v>-1.4931618010829499</v>
      </c>
      <c r="I311" s="6">
        <v>1.6245464001138099E-9</v>
      </c>
      <c r="J311" s="6">
        <v>9.0493716258785897E-14</v>
      </c>
      <c r="K311" s="9">
        <v>1.13289017845638E-7</v>
      </c>
    </row>
    <row r="312" spans="1:11">
      <c r="A312" s="1" t="s">
        <v>410</v>
      </c>
      <c r="B312" s="1" t="s">
        <v>411</v>
      </c>
      <c r="D312" s="8" t="s">
        <v>411</v>
      </c>
      <c r="E312" s="5">
        <v>-1.6540914043433399</v>
      </c>
      <c r="F312" s="5">
        <v>-1.7854631927034801</v>
      </c>
      <c r="G312" s="5">
        <v>-1.05635025722869</v>
      </c>
      <c r="H312" s="5">
        <f t="shared" si="4"/>
        <v>-1.49863495142517</v>
      </c>
      <c r="I312" s="6">
        <v>4.1408541192357099E-9</v>
      </c>
      <c r="J312" s="6">
        <v>2.5525438446377301E-9</v>
      </c>
      <c r="K312" s="9">
        <v>4.4693677232746899E-5</v>
      </c>
    </row>
    <row r="313" spans="1:11">
      <c r="A313" s="1" t="s">
        <v>318</v>
      </c>
      <c r="B313" s="1" t="s">
        <v>319</v>
      </c>
      <c r="D313" s="8" t="s">
        <v>319</v>
      </c>
      <c r="E313" s="5">
        <v>-1.43142004359382</v>
      </c>
      <c r="F313" s="5">
        <v>-1.58534018734544</v>
      </c>
      <c r="G313" s="5">
        <v>-1.4916578565535099</v>
      </c>
      <c r="H313" s="5">
        <f t="shared" si="4"/>
        <v>-1.5028060291642567</v>
      </c>
      <c r="I313" s="6">
        <v>4.8196073850614797E-9</v>
      </c>
      <c r="J313" s="6">
        <v>2.6047779684655899E-9</v>
      </c>
      <c r="K313" s="9">
        <v>9.9338275614902501E-11</v>
      </c>
    </row>
    <row r="314" spans="1:11">
      <c r="A314" s="1" t="s">
        <v>468</v>
      </c>
      <c r="B314" s="1" t="s">
        <v>469</v>
      </c>
      <c r="D314" s="8" t="s">
        <v>469</v>
      </c>
      <c r="E314" s="5">
        <v>-1.1398235741024101</v>
      </c>
      <c r="F314" s="5">
        <v>-1.45022513245908</v>
      </c>
      <c r="G314" s="5">
        <v>-1.92255182003388</v>
      </c>
      <c r="H314" s="5">
        <f t="shared" si="4"/>
        <v>-1.50420017553179</v>
      </c>
      <c r="I314" s="6">
        <v>7.6493340671690005E-8</v>
      </c>
      <c r="J314" s="6">
        <v>2.48553213268263E-11</v>
      </c>
      <c r="K314" s="9">
        <v>7.4560951504007601E-19</v>
      </c>
    </row>
    <row r="315" spans="1:11">
      <c r="A315" s="1" t="s">
        <v>524</v>
      </c>
      <c r="B315" s="1" t="s">
        <v>525</v>
      </c>
      <c r="D315" s="8" t="s">
        <v>525</v>
      </c>
      <c r="E315" s="5">
        <v>-1.4178408581696</v>
      </c>
      <c r="F315" s="5">
        <v>-1.5846286785880099</v>
      </c>
      <c r="G315" s="5">
        <v>-1.5452275830872599</v>
      </c>
      <c r="H315" s="5">
        <f t="shared" si="4"/>
        <v>-1.5158990399482899</v>
      </c>
      <c r="I315" s="6">
        <v>5.9032255508552203E-8</v>
      </c>
      <c r="J315" s="6">
        <v>6.6469472496479195E-10</v>
      </c>
      <c r="K315" s="9">
        <v>1.3008456159982301E-10</v>
      </c>
    </row>
    <row r="316" spans="1:11">
      <c r="A316" s="1" t="s">
        <v>434</v>
      </c>
      <c r="B316" s="1" t="s">
        <v>435</v>
      </c>
      <c r="D316" s="8" t="s">
        <v>435</v>
      </c>
      <c r="E316" s="5">
        <v>-1.14690514624386</v>
      </c>
      <c r="F316" s="5">
        <v>-1.65468738411564</v>
      </c>
      <c r="G316" s="5">
        <v>-1.7476980790324901</v>
      </c>
      <c r="H316" s="5">
        <f t="shared" si="4"/>
        <v>-1.5164302031306633</v>
      </c>
      <c r="I316" s="6">
        <v>5.3990281055735301E-7</v>
      </c>
      <c r="J316" s="6">
        <v>5.9567494264450699E-13</v>
      </c>
      <c r="K316" s="9">
        <v>1.9774971381711599E-13</v>
      </c>
    </row>
    <row r="317" spans="1:11">
      <c r="A317" s="1" t="s">
        <v>234</v>
      </c>
      <c r="B317" s="1" t="s">
        <v>235</v>
      </c>
      <c r="D317" s="8" t="s">
        <v>235</v>
      </c>
      <c r="E317" s="5">
        <v>-1.4988676676825099</v>
      </c>
      <c r="F317" s="5">
        <v>-2.04791209341017</v>
      </c>
      <c r="G317" s="5">
        <v>-1.04505004660793</v>
      </c>
      <c r="H317" s="5">
        <f t="shared" si="4"/>
        <v>-1.5306099359002034</v>
      </c>
      <c r="I317" s="6">
        <v>3.8995442054460203E-9</v>
      </c>
      <c r="J317" s="6">
        <v>2.6867836203687099E-14</v>
      </c>
      <c r="K317" s="9">
        <v>5.45342194836124E-5</v>
      </c>
    </row>
    <row r="318" spans="1:11">
      <c r="A318" s="1" t="s">
        <v>306</v>
      </c>
      <c r="B318" s="1" t="s">
        <v>307</v>
      </c>
      <c r="D318" s="8" t="s">
        <v>307</v>
      </c>
      <c r="E318" s="5">
        <v>-0.95376398530250495</v>
      </c>
      <c r="F318" s="5">
        <v>-1.4399958110375</v>
      </c>
      <c r="G318" s="5">
        <v>-2.2381058613330498</v>
      </c>
      <c r="H318" s="5">
        <f t="shared" si="4"/>
        <v>-1.5439552192243517</v>
      </c>
      <c r="I318" s="6">
        <v>1.4459999871262999E-4</v>
      </c>
      <c r="J318" s="6">
        <v>6.9732096260655298E-7</v>
      </c>
      <c r="K318" s="9">
        <v>4.6704709239253298E-16</v>
      </c>
    </row>
    <row r="319" spans="1:11">
      <c r="A319" s="1" t="s">
        <v>460</v>
      </c>
      <c r="B319" s="1" t="s">
        <v>461</v>
      </c>
      <c r="D319" s="8" t="s">
        <v>461</v>
      </c>
      <c r="E319" s="5">
        <v>-1.4261339579710199</v>
      </c>
      <c r="F319" s="5">
        <v>-1.6418058470941499</v>
      </c>
      <c r="G319" s="5">
        <v>-1.5655813360188</v>
      </c>
      <c r="H319" s="5">
        <f t="shared" si="4"/>
        <v>-1.54450704702799</v>
      </c>
      <c r="I319" s="6">
        <v>1.4118613833407501E-7</v>
      </c>
      <c r="J319" s="6">
        <v>1.37768318550672E-10</v>
      </c>
      <c r="K319" s="9">
        <v>1.0040147908502001E-8</v>
      </c>
    </row>
    <row r="320" spans="1:11">
      <c r="A320" s="1" t="s">
        <v>214</v>
      </c>
      <c r="B320" s="1" t="s">
        <v>215</v>
      </c>
      <c r="D320" s="8" t="s">
        <v>215</v>
      </c>
      <c r="E320" s="5">
        <v>-1.2603467033618101</v>
      </c>
      <c r="F320" s="5">
        <v>-1.82637014704554</v>
      </c>
      <c r="G320" s="5">
        <v>-1.6111365483531801</v>
      </c>
      <c r="H320" s="5">
        <f t="shared" si="4"/>
        <v>-1.5659511329201765</v>
      </c>
      <c r="I320" s="6">
        <v>3.8038604304824897E-8</v>
      </c>
      <c r="J320" s="6">
        <v>2.2186065261399E-14</v>
      </c>
      <c r="K320" s="9">
        <v>1.15409541952857E-11</v>
      </c>
    </row>
    <row r="321" spans="1:11">
      <c r="A321" s="1" t="s">
        <v>286</v>
      </c>
      <c r="B321" s="1" t="s">
        <v>287</v>
      </c>
      <c r="D321" s="8" t="s">
        <v>287</v>
      </c>
      <c r="E321" s="5">
        <v>-1.33609020368725</v>
      </c>
      <c r="F321" s="5">
        <v>-1.6460276514429599</v>
      </c>
      <c r="G321" s="5">
        <v>-1.7159060484406401</v>
      </c>
      <c r="H321" s="5">
        <f t="shared" si="4"/>
        <v>-1.5660079678569501</v>
      </c>
      <c r="I321" s="6">
        <v>1.82356787511528E-8</v>
      </c>
      <c r="J321" s="6">
        <v>3.9655315242114901E-12</v>
      </c>
      <c r="K321" s="9">
        <v>8.76259582033507E-11</v>
      </c>
    </row>
    <row r="322" spans="1:11">
      <c r="A322" s="1" t="s">
        <v>20</v>
      </c>
      <c r="B322" s="1" t="s">
        <v>21</v>
      </c>
      <c r="D322" s="8" t="s">
        <v>21</v>
      </c>
      <c r="E322" s="5">
        <v>-1.1893335404063901</v>
      </c>
      <c r="F322" s="5">
        <v>-1.5456550577069099</v>
      </c>
      <c r="G322" s="5">
        <v>-1.96571547676224</v>
      </c>
      <c r="H322" s="5">
        <f t="shared" ref="H322:H348" si="5">AVERAGE(E322:G322)</f>
        <v>-1.5669013582918465</v>
      </c>
      <c r="I322" s="6">
        <v>2.34012954101898E-7</v>
      </c>
      <c r="J322" s="6">
        <v>1.3847031113044999E-10</v>
      </c>
      <c r="K322" s="9">
        <v>3.3353507961470002E-17</v>
      </c>
    </row>
    <row r="323" spans="1:11">
      <c r="A323" s="1" t="s">
        <v>590</v>
      </c>
      <c r="B323" s="1" t="s">
        <v>591</v>
      </c>
      <c r="D323" s="8" t="s">
        <v>591</v>
      </c>
      <c r="E323" s="5">
        <v>-1.42222564373595</v>
      </c>
      <c r="F323" s="5">
        <v>-1.90144369290394</v>
      </c>
      <c r="G323" s="5">
        <v>-1.38611741425708</v>
      </c>
      <c r="H323" s="5">
        <f t="shared" si="5"/>
        <v>-1.5699289169656565</v>
      </c>
      <c r="I323" s="6">
        <v>5.0408152305832002E-10</v>
      </c>
      <c r="J323" s="6">
        <v>3.9101215219630001E-15</v>
      </c>
      <c r="K323" s="9">
        <v>1.92363991909732E-9</v>
      </c>
    </row>
    <row r="324" spans="1:11">
      <c r="A324" s="1" t="s">
        <v>634</v>
      </c>
      <c r="B324" s="1" t="s">
        <v>635</v>
      </c>
      <c r="D324" s="8" t="s">
        <v>635</v>
      </c>
      <c r="E324" s="5">
        <v>-1.1245548755417201</v>
      </c>
      <c r="F324" s="5">
        <v>-2.2304044703850998</v>
      </c>
      <c r="G324" s="5">
        <v>-1.4066183334504001</v>
      </c>
      <c r="H324" s="5">
        <f t="shared" si="5"/>
        <v>-1.5871925597924068</v>
      </c>
      <c r="I324" s="6">
        <v>9.1738479279616704E-6</v>
      </c>
      <c r="J324" s="6">
        <v>3.9260110729260498E-15</v>
      </c>
      <c r="K324" s="9">
        <v>5.9527147003465899E-7</v>
      </c>
    </row>
    <row r="325" spans="1:11">
      <c r="A325" s="1" t="s">
        <v>130</v>
      </c>
      <c r="B325" s="1" t="s">
        <v>131</v>
      </c>
      <c r="D325" s="8" t="s">
        <v>131</v>
      </c>
      <c r="E325" s="5">
        <v>-1.5550486132891099</v>
      </c>
      <c r="F325" s="5">
        <v>-1.47450320625065</v>
      </c>
      <c r="G325" s="5">
        <v>-1.7413659346041901</v>
      </c>
      <c r="H325" s="5">
        <f t="shared" si="5"/>
        <v>-1.5903059180479833</v>
      </c>
      <c r="I325" s="6">
        <v>3.4963249082691197E-10</v>
      </c>
      <c r="J325" s="6">
        <v>6.2770712503348906E-8</v>
      </c>
      <c r="K325" s="9">
        <v>1.07101935606859E-12</v>
      </c>
    </row>
    <row r="326" spans="1:11">
      <c r="A326" s="1" t="s">
        <v>34</v>
      </c>
      <c r="B326" s="1" t="s">
        <v>35</v>
      </c>
      <c r="D326" s="8" t="s">
        <v>35</v>
      </c>
      <c r="E326" s="5">
        <v>-1.3304404352344299</v>
      </c>
      <c r="F326" s="5">
        <v>-1.7190559392571301</v>
      </c>
      <c r="G326" s="5">
        <v>-1.73090643365439</v>
      </c>
      <c r="H326" s="5">
        <f t="shared" si="5"/>
        <v>-1.5934676027153165</v>
      </c>
      <c r="I326" s="6">
        <v>2.6509496750532201E-6</v>
      </c>
      <c r="J326" s="6">
        <v>9.9379160138335704E-10</v>
      </c>
      <c r="K326" s="9">
        <v>9.34750949081956E-8</v>
      </c>
    </row>
    <row r="327" spans="1:11">
      <c r="A327" s="1" t="s">
        <v>388</v>
      </c>
      <c r="B327" s="1" t="s">
        <v>389</v>
      </c>
      <c r="D327" s="8" t="s">
        <v>389</v>
      </c>
      <c r="E327" s="5">
        <v>-1.2095983378354001</v>
      </c>
      <c r="F327" s="5">
        <v>-1.79485991373875</v>
      </c>
      <c r="G327" s="5">
        <v>-1.8170711934200201</v>
      </c>
      <c r="H327" s="5">
        <f t="shared" si="5"/>
        <v>-1.6071764816647234</v>
      </c>
      <c r="I327" s="6">
        <v>1.6317072527716401E-6</v>
      </c>
      <c r="J327" s="6">
        <v>2.3910628431724801E-13</v>
      </c>
      <c r="K327" s="9">
        <v>4.6662335587699199E-11</v>
      </c>
    </row>
    <row r="328" spans="1:11">
      <c r="A328" s="1" t="s">
        <v>300</v>
      </c>
      <c r="B328" s="1" t="s">
        <v>301</v>
      </c>
      <c r="D328" s="8" t="s">
        <v>301</v>
      </c>
      <c r="E328" s="5">
        <v>-1.5027432502836</v>
      </c>
      <c r="F328" s="5">
        <v>-1.76473870456564</v>
      </c>
      <c r="G328" s="5">
        <v>-1.5685650980497801</v>
      </c>
      <c r="H328" s="5">
        <f t="shared" si="5"/>
        <v>-1.6120156842996733</v>
      </c>
      <c r="I328" s="6">
        <v>1.24061018298181E-10</v>
      </c>
      <c r="J328" s="6">
        <v>6.2295592739470499E-12</v>
      </c>
      <c r="K328" s="9">
        <v>4.1968990894187499E-11</v>
      </c>
    </row>
    <row r="329" spans="1:11">
      <c r="A329" s="1" t="s">
        <v>464</v>
      </c>
      <c r="B329" s="1" t="s">
        <v>465</v>
      </c>
      <c r="D329" s="8" t="s">
        <v>465</v>
      </c>
      <c r="E329" s="5">
        <v>-1.8344541656905899</v>
      </c>
      <c r="F329" s="5">
        <v>-1.9452708442810001</v>
      </c>
      <c r="G329" s="5">
        <v>-1.1964264417625901</v>
      </c>
      <c r="H329" s="5">
        <f t="shared" si="5"/>
        <v>-1.6587171505780598</v>
      </c>
      <c r="I329" s="6">
        <v>4.9627444810096301E-14</v>
      </c>
      <c r="J329" s="6">
        <v>2.58044995768187E-17</v>
      </c>
      <c r="K329" s="9">
        <v>1.9279666611788799E-5</v>
      </c>
    </row>
    <row r="330" spans="1:11">
      <c r="A330" s="1" t="s">
        <v>340</v>
      </c>
      <c r="B330" s="1" t="s">
        <v>341</v>
      </c>
      <c r="D330" s="8" t="s">
        <v>341</v>
      </c>
      <c r="E330" s="5">
        <v>-1.53789646141074</v>
      </c>
      <c r="F330" s="5">
        <v>-1.90556129164469</v>
      </c>
      <c r="G330" s="5">
        <v>-1.57340755463879</v>
      </c>
      <c r="H330" s="5">
        <f t="shared" si="5"/>
        <v>-1.6722884358980732</v>
      </c>
      <c r="I330" s="6">
        <v>2.2638820182107299E-10</v>
      </c>
      <c r="J330" s="6">
        <v>4.2905266961583402E-15</v>
      </c>
      <c r="K330" s="9">
        <v>4.6361540979163902E-10</v>
      </c>
    </row>
    <row r="331" spans="1:11">
      <c r="A331" s="1" t="s">
        <v>270</v>
      </c>
      <c r="B331" s="1" t="s">
        <v>271</v>
      </c>
      <c r="D331" s="8" t="s">
        <v>271</v>
      </c>
      <c r="E331" s="5">
        <v>-1.61984685003288</v>
      </c>
      <c r="F331" s="5">
        <v>-1.5677115844824301</v>
      </c>
      <c r="G331" s="5">
        <v>-1.86202300674595</v>
      </c>
      <c r="H331" s="5">
        <f t="shared" si="5"/>
        <v>-1.6831938137537534</v>
      </c>
      <c r="I331" s="6">
        <v>8.0787293722367404E-8</v>
      </c>
      <c r="J331" s="6">
        <v>1.0290738089993799E-9</v>
      </c>
      <c r="K331" s="9">
        <v>1.3504286739250199E-9</v>
      </c>
    </row>
    <row r="332" spans="1:11">
      <c r="A332" s="1" t="s">
        <v>112</v>
      </c>
      <c r="B332" s="1" t="s">
        <v>113</v>
      </c>
      <c r="D332" s="8" t="s">
        <v>113</v>
      </c>
      <c r="E332" s="5">
        <v>-1.57959129090429</v>
      </c>
      <c r="F332" s="5">
        <v>-1.9559463793883001</v>
      </c>
      <c r="G332" s="5">
        <v>-1.5244577746972701</v>
      </c>
      <c r="H332" s="5">
        <f t="shared" si="5"/>
        <v>-1.6866651483299533</v>
      </c>
      <c r="I332" s="6">
        <v>1.29129813232141E-12</v>
      </c>
      <c r="J332" s="6">
        <v>3.8592357808204698E-18</v>
      </c>
      <c r="K332" s="9">
        <v>6.6056126066495798E-11</v>
      </c>
    </row>
    <row r="333" spans="1:11">
      <c r="A333" s="1" t="s">
        <v>72</v>
      </c>
      <c r="B333" s="1" t="s">
        <v>73</v>
      </c>
      <c r="D333" s="8" t="s">
        <v>73</v>
      </c>
      <c r="E333" s="5">
        <v>-1.3737067498155</v>
      </c>
      <c r="F333" s="5">
        <v>-2.1173073578579</v>
      </c>
      <c r="G333" s="5">
        <v>-1.63415508576202</v>
      </c>
      <c r="H333" s="5">
        <f t="shared" si="5"/>
        <v>-1.7083897311451401</v>
      </c>
      <c r="I333" s="6">
        <v>4.4129872507347799E-8</v>
      </c>
      <c r="J333" s="6">
        <v>8.5978413223583098E-19</v>
      </c>
      <c r="K333" s="9">
        <v>4.5613602747464899E-7</v>
      </c>
    </row>
    <row r="334" spans="1:11">
      <c r="A334" s="1" t="s">
        <v>226</v>
      </c>
      <c r="B334" s="1" t="s">
        <v>227</v>
      </c>
      <c r="D334" s="8" t="s">
        <v>227</v>
      </c>
      <c r="E334" s="5">
        <v>-2.0881170278958798</v>
      </c>
      <c r="F334" s="5">
        <v>-0.72792887724127198</v>
      </c>
      <c r="G334" s="5">
        <v>-2.3107178080373001</v>
      </c>
      <c r="H334" s="5">
        <f t="shared" si="5"/>
        <v>-1.7089212377248171</v>
      </c>
      <c r="I334" s="6">
        <v>4.1433331015638301E-13</v>
      </c>
      <c r="J334" s="6">
        <v>1.8554432772222299E-2</v>
      </c>
      <c r="K334" s="9">
        <v>4.06547118807576E-11</v>
      </c>
    </row>
    <row r="335" spans="1:11">
      <c r="A335" s="1" t="s">
        <v>314</v>
      </c>
      <c r="B335" s="1" t="s">
        <v>315</v>
      </c>
      <c r="D335" s="8" t="s">
        <v>315</v>
      </c>
      <c r="E335" s="5">
        <v>-1.5925607564166799</v>
      </c>
      <c r="F335" s="5">
        <v>-2.0931511829720799</v>
      </c>
      <c r="G335" s="5">
        <v>-1.5698719233515499</v>
      </c>
      <c r="H335" s="5">
        <f t="shared" si="5"/>
        <v>-1.7518612875801034</v>
      </c>
      <c r="I335" s="6">
        <v>3.82490807208642E-7</v>
      </c>
      <c r="J335" s="6">
        <v>5.8400187731203498E-10</v>
      </c>
      <c r="K335" s="9">
        <v>8.3867688160909896E-8</v>
      </c>
    </row>
    <row r="336" spans="1:11">
      <c r="A336" s="1" t="s">
        <v>74</v>
      </c>
      <c r="B336" s="1" t="s">
        <v>75</v>
      </c>
      <c r="D336" s="8" t="s">
        <v>75</v>
      </c>
      <c r="E336" s="5">
        <v>-1.1443538067317101</v>
      </c>
      <c r="F336" s="5">
        <v>-2.11166490892293</v>
      </c>
      <c r="G336" s="5">
        <v>-2.00132374877166</v>
      </c>
      <c r="H336" s="5">
        <f t="shared" si="5"/>
        <v>-1.7524474881420999</v>
      </c>
      <c r="I336" s="6">
        <v>3.2524661292394601E-6</v>
      </c>
      <c r="J336" s="6">
        <v>1.59201772268688E-15</v>
      </c>
      <c r="K336" s="9">
        <v>3.96235513324278E-14</v>
      </c>
    </row>
    <row r="337" spans="1:11">
      <c r="A337" s="1" t="s">
        <v>62</v>
      </c>
      <c r="B337" s="1" t="s">
        <v>63</v>
      </c>
      <c r="D337" s="8" t="s">
        <v>63</v>
      </c>
      <c r="E337" s="5">
        <v>-1.25700641794446</v>
      </c>
      <c r="F337" s="5">
        <v>-2.0851793307584199</v>
      </c>
      <c r="G337" s="5">
        <v>-1.9238159329545801</v>
      </c>
      <c r="H337" s="5">
        <f t="shared" si="5"/>
        <v>-1.7553338938858201</v>
      </c>
      <c r="I337" s="6">
        <v>1.51344147006251E-8</v>
      </c>
      <c r="J337" s="6">
        <v>2.63355108919239E-20</v>
      </c>
      <c r="K337" s="9">
        <v>6.55070193113113E-14</v>
      </c>
    </row>
    <row r="338" spans="1:11">
      <c r="A338" s="1" t="s">
        <v>618</v>
      </c>
      <c r="B338" s="1" t="s">
        <v>619</v>
      </c>
      <c r="D338" s="8" t="s">
        <v>619</v>
      </c>
      <c r="E338" s="5">
        <v>-1.47251776584831</v>
      </c>
      <c r="F338" s="5">
        <v>-1.90010458942879</v>
      </c>
      <c r="G338" s="5">
        <v>-1.9063193136269601</v>
      </c>
      <c r="H338" s="5">
        <f t="shared" si="5"/>
        <v>-1.75964722296802</v>
      </c>
      <c r="I338" s="6">
        <v>3.82685451034539E-7</v>
      </c>
      <c r="J338" s="6">
        <v>2.50616236108266E-9</v>
      </c>
      <c r="K338" s="9">
        <v>5.2026635585851899E-9</v>
      </c>
    </row>
    <row r="339" spans="1:11">
      <c r="A339" s="1" t="s">
        <v>102</v>
      </c>
      <c r="B339" s="1" t="s">
        <v>103</v>
      </c>
      <c r="D339" s="8" t="s">
        <v>103</v>
      </c>
      <c r="E339" s="5">
        <v>-1.40236846080665</v>
      </c>
      <c r="F339" s="5">
        <v>-2.5422100703566999</v>
      </c>
      <c r="G339" s="5">
        <v>-1.3996055787947801</v>
      </c>
      <c r="H339" s="5">
        <f t="shared" si="5"/>
        <v>-1.7813947033193767</v>
      </c>
      <c r="I339" s="6">
        <v>4.63272352039258E-9</v>
      </c>
      <c r="J339" s="6">
        <v>1.6487987236338201E-26</v>
      </c>
      <c r="K339" s="9">
        <v>7.0679441764452201E-7</v>
      </c>
    </row>
    <row r="340" spans="1:11">
      <c r="A340" s="1" t="s">
        <v>496</v>
      </c>
      <c r="B340" s="1" t="s">
        <v>497</v>
      </c>
      <c r="D340" s="8" t="s">
        <v>497</v>
      </c>
      <c r="E340" s="5">
        <v>-1.5900953062549299</v>
      </c>
      <c r="F340" s="5">
        <v>-1.9249672418401</v>
      </c>
      <c r="G340" s="5">
        <v>-1.92336738535937</v>
      </c>
      <c r="H340" s="5">
        <f t="shared" si="5"/>
        <v>-1.8128099778181335</v>
      </c>
      <c r="I340" s="6">
        <v>1.2919239364971801E-10</v>
      </c>
      <c r="J340" s="6">
        <v>1.1961253540457899E-14</v>
      </c>
      <c r="K340" s="9">
        <v>6.19231902081734E-17</v>
      </c>
    </row>
    <row r="341" spans="1:11">
      <c r="A341" s="1" t="s">
        <v>564</v>
      </c>
      <c r="B341" s="1" t="s">
        <v>565</v>
      </c>
      <c r="D341" s="8" t="s">
        <v>565</v>
      </c>
      <c r="E341" s="5">
        <v>-1.9760971281337301</v>
      </c>
      <c r="F341" s="5">
        <v>-1.7489174213459</v>
      </c>
      <c r="G341" s="5">
        <v>-1.76380130945174</v>
      </c>
      <c r="H341" s="5">
        <f t="shared" si="5"/>
        <v>-1.8296052863104568</v>
      </c>
      <c r="I341" s="6">
        <v>1.57430366054075E-12</v>
      </c>
      <c r="J341" s="6">
        <v>7.2957065528492E-13</v>
      </c>
      <c r="K341" s="9">
        <v>9.9282633543450503E-10</v>
      </c>
    </row>
    <row r="342" spans="1:11">
      <c r="A342" s="1" t="s">
        <v>302</v>
      </c>
      <c r="B342" s="1" t="s">
        <v>303</v>
      </c>
      <c r="D342" s="8" t="s">
        <v>303</v>
      </c>
      <c r="E342" s="5">
        <v>-1.48947344515499</v>
      </c>
      <c r="F342" s="5">
        <v>-1.9533822657762501</v>
      </c>
      <c r="G342" s="5">
        <v>-2.08022189511144</v>
      </c>
      <c r="H342" s="5">
        <f t="shared" si="5"/>
        <v>-1.8410258686808934</v>
      </c>
      <c r="I342" s="6">
        <v>1.5798499377452901E-11</v>
      </c>
      <c r="J342" s="6">
        <v>2.6949401590077001E-18</v>
      </c>
      <c r="K342" s="9">
        <v>6.2758202108015901E-18</v>
      </c>
    </row>
    <row r="343" spans="1:11">
      <c r="A343" s="1" t="s">
        <v>228</v>
      </c>
      <c r="B343" s="1" t="s">
        <v>229</v>
      </c>
      <c r="D343" s="8" t="s">
        <v>229</v>
      </c>
      <c r="E343" s="5">
        <v>-1.94123558551125</v>
      </c>
      <c r="F343" s="5">
        <v>-2.3383810393735902</v>
      </c>
      <c r="G343" s="5">
        <v>-1.63771799048519</v>
      </c>
      <c r="H343" s="5">
        <f t="shared" si="5"/>
        <v>-1.97244487179001</v>
      </c>
      <c r="I343" s="6">
        <v>3.5815419171094999E-15</v>
      </c>
      <c r="J343" s="6">
        <v>9.7523152707379602E-21</v>
      </c>
      <c r="K343" s="9">
        <v>2.0801795640599401E-12</v>
      </c>
    </row>
    <row r="344" spans="1:11">
      <c r="A344" s="1" t="s">
        <v>84</v>
      </c>
      <c r="B344" s="1" t="s">
        <v>85</v>
      </c>
      <c r="D344" s="8" t="s">
        <v>85</v>
      </c>
      <c r="E344" s="5">
        <v>-1.78516972769305</v>
      </c>
      <c r="F344" s="5">
        <v>-2.20335274010074</v>
      </c>
      <c r="G344" s="5">
        <v>-2.1140817675084702</v>
      </c>
      <c r="H344" s="5">
        <f t="shared" si="5"/>
        <v>-2.0342014117674201</v>
      </c>
      <c r="I344" s="6">
        <v>4.0429950731106902E-10</v>
      </c>
      <c r="J344" s="6">
        <v>1.1823702301787201E-15</v>
      </c>
      <c r="K344" s="9">
        <v>4.3035829273990703E-13</v>
      </c>
    </row>
    <row r="345" spans="1:11">
      <c r="A345" s="1" t="s">
        <v>442</v>
      </c>
      <c r="B345" s="1" t="s">
        <v>443</v>
      </c>
      <c r="D345" s="8" t="s">
        <v>443</v>
      </c>
      <c r="E345" s="5">
        <v>-1.8770786806763899</v>
      </c>
      <c r="F345" s="5">
        <v>-2.4555258756065701</v>
      </c>
      <c r="G345" s="5">
        <v>-1.8946496974235101</v>
      </c>
      <c r="H345" s="5">
        <f t="shared" si="5"/>
        <v>-2.0757514179021568</v>
      </c>
      <c r="I345" s="6">
        <v>1.8966754538188199E-11</v>
      </c>
      <c r="J345" s="6">
        <v>1.8919056854109101E-15</v>
      </c>
      <c r="K345" s="9">
        <v>9.3301673346279095E-12</v>
      </c>
    </row>
    <row r="346" spans="1:11">
      <c r="A346" s="1" t="s">
        <v>96</v>
      </c>
      <c r="B346" s="1" t="s">
        <v>97</v>
      </c>
      <c r="D346" s="8" t="s">
        <v>97</v>
      </c>
      <c r="E346" s="5">
        <v>-1.5149567595097</v>
      </c>
      <c r="F346" s="5">
        <v>-2.6080606958469401</v>
      </c>
      <c r="G346" s="5">
        <v>-2.2501871588392199</v>
      </c>
      <c r="H346" s="5">
        <f t="shared" si="5"/>
        <v>-2.1244015380652868</v>
      </c>
      <c r="I346" s="6">
        <v>5.5805044400737001E-8</v>
      </c>
      <c r="J346" s="6">
        <v>2.0723003333780801E-20</v>
      </c>
      <c r="K346" s="9">
        <v>1.80465841845712E-17</v>
      </c>
    </row>
    <row r="347" spans="1:11">
      <c r="A347" s="1" t="s">
        <v>282</v>
      </c>
      <c r="B347" s="1" t="s">
        <v>283</v>
      </c>
      <c r="D347" s="8" t="s">
        <v>283</v>
      </c>
      <c r="E347" s="5">
        <v>-2.4529790315847402</v>
      </c>
      <c r="F347" s="5">
        <v>-2.9459797293915302</v>
      </c>
      <c r="G347" s="5">
        <v>-1.5104149157134401</v>
      </c>
      <c r="H347" s="5">
        <f t="shared" si="5"/>
        <v>-2.3031245588965703</v>
      </c>
      <c r="I347" s="6">
        <v>1.1044778713025901E-17</v>
      </c>
      <c r="J347" s="6">
        <v>1.6993122750374201E-23</v>
      </c>
      <c r="K347" s="9">
        <v>3.0885598943776301E-6</v>
      </c>
    </row>
    <row r="348" spans="1:11" ht="14.4" thickBot="1">
      <c r="A348" s="1" t="s">
        <v>322</v>
      </c>
      <c r="B348" s="1" t="s">
        <v>323</v>
      </c>
      <c r="D348" s="10" t="s">
        <v>323</v>
      </c>
      <c r="E348" s="11">
        <v>-2.06487788270401</v>
      </c>
      <c r="F348" s="11">
        <v>-2.0747973431073401</v>
      </c>
      <c r="G348" s="11">
        <v>-3.0011714408601202</v>
      </c>
      <c r="H348" s="11">
        <f t="shared" si="5"/>
        <v>-2.3802822222238236</v>
      </c>
      <c r="I348" s="12">
        <v>9.9730236313121098E-15</v>
      </c>
      <c r="J348" s="12">
        <v>4.1942187854351998E-18</v>
      </c>
      <c r="K348" s="13">
        <v>2.03523649977727E-29</v>
      </c>
    </row>
  </sheetData>
  <sortState xmlns:xlrd2="http://schemas.microsoft.com/office/spreadsheetml/2017/richdata2" ref="A4:K580">
    <sortCondition descending="1" ref="H3:H580"/>
  </sortState>
  <mergeCells count="3">
    <mergeCell ref="E2:G2"/>
    <mergeCell ref="I2:K2"/>
    <mergeCell ref="D1:K1"/>
  </mergeCells>
  <phoneticPr fontId="1" type="noConversion"/>
  <conditionalFormatting sqref="H1:H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1048576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p1000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chiunghui</dc:creator>
  <cp:lastModifiedBy>USER</cp:lastModifiedBy>
  <dcterms:created xsi:type="dcterms:W3CDTF">2024-06-28T17:30:04Z</dcterms:created>
  <dcterms:modified xsi:type="dcterms:W3CDTF">2025-06-27T01:57:57Z</dcterms:modified>
</cp:coreProperties>
</file>