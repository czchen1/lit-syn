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akrs\Box\Sneha Ramakrishna's Files\GD2 DIPG Stanford CAR\DL1 paper\Nature\Final Formatting\New_Raw_Data\"/>
    </mc:Choice>
  </mc:AlternateContent>
  <bookViews>
    <workbookView xWindow="0" yWindow="0" windowWidth="28800" windowHeight="12450" activeTab="2"/>
  </bookViews>
  <sheets>
    <sheet name="LDH" sheetId="1" r:id="rId1"/>
    <sheet name="Log2K27M_ctDNA_SpinalDMG1.DIPG2" sheetId="2" r:id="rId2"/>
    <sheet name="cfDNA_AssayValid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3" l="1"/>
  <c r="H15" i="3"/>
  <c r="G15" i="3"/>
  <c r="E15" i="3"/>
  <c r="D15" i="3"/>
  <c r="J14" i="3"/>
  <c r="G14" i="3"/>
  <c r="H14" i="3" s="1"/>
  <c r="E14" i="3"/>
  <c r="D14" i="3"/>
  <c r="J13" i="3"/>
  <c r="H13" i="3"/>
  <c r="G13" i="3"/>
  <c r="E13" i="3"/>
  <c r="D13" i="3"/>
  <c r="J12" i="3"/>
  <c r="E12" i="3"/>
  <c r="G12" i="3" s="1"/>
  <c r="H12" i="3" s="1"/>
  <c r="D12" i="3"/>
  <c r="J11" i="3"/>
  <c r="E11" i="3"/>
  <c r="G11" i="3" s="1"/>
  <c r="H11" i="3" s="1"/>
  <c r="D11" i="3"/>
  <c r="J10" i="3"/>
  <c r="G10" i="3"/>
  <c r="H10" i="3" s="1"/>
  <c r="E10" i="3"/>
  <c r="D10" i="3"/>
  <c r="J9" i="3"/>
  <c r="E9" i="3"/>
  <c r="G9" i="3" s="1"/>
  <c r="H9" i="3" s="1"/>
  <c r="D9" i="3"/>
  <c r="J8" i="3"/>
  <c r="H8" i="3"/>
  <c r="G8" i="3"/>
  <c r="E8" i="3"/>
  <c r="D8" i="3"/>
  <c r="J7" i="3"/>
  <c r="E7" i="3"/>
  <c r="G7" i="3" s="1"/>
  <c r="H7" i="3" s="1"/>
  <c r="D7" i="3"/>
  <c r="J6" i="3"/>
  <c r="G6" i="3"/>
  <c r="H6" i="3" s="1"/>
  <c r="E6" i="3"/>
  <c r="D6" i="3"/>
  <c r="J5" i="3"/>
  <c r="H5" i="3"/>
  <c r="G5" i="3"/>
  <c r="E5" i="3"/>
  <c r="D5" i="3"/>
  <c r="J4" i="3"/>
  <c r="E4" i="3"/>
  <c r="G4" i="3" s="1"/>
  <c r="H4" i="3" s="1"/>
  <c r="D4" i="3"/>
  <c r="J3" i="3"/>
  <c r="E3" i="3"/>
  <c r="G3" i="3" s="1"/>
  <c r="H3" i="3" s="1"/>
  <c r="D3" i="3"/>
  <c r="J2" i="3"/>
  <c r="G2" i="3"/>
  <c r="H2" i="3" s="1"/>
  <c r="E2" i="3"/>
  <c r="D2" i="3"/>
</calcChain>
</file>

<file path=xl/sharedStrings.xml><?xml version="1.0" encoding="utf-8"?>
<sst xmlns="http://schemas.openxmlformats.org/spreadsheetml/2006/main" count="35" uniqueCount="35">
  <si>
    <t>Days post CAR</t>
  </si>
  <si>
    <t>Spinal Cord Glioma 1 (IV)</t>
  </si>
  <si>
    <t>Spinal Cord Glioma 1 (ICV)</t>
  </si>
  <si>
    <t>DIPG 1</t>
  </si>
  <si>
    <t>DIPG 2 (IV)</t>
  </si>
  <si>
    <t>DIPG 2 (ICV)</t>
  </si>
  <si>
    <t>DIPG 3 (IV)</t>
  </si>
  <si>
    <t>DIPG 3 (ICV)</t>
  </si>
  <si>
    <r>
      <t>Days Post 1</t>
    </r>
    <r>
      <rPr>
        <vertAlign val="superscript"/>
        <sz val="10"/>
        <rFont val="Arial"/>
      </rPr>
      <t>st</t>
    </r>
    <r>
      <rPr>
        <sz val="10"/>
        <rFont val="Arial"/>
      </rPr>
      <t xml:space="preserve"> CAR infusion</t>
    </r>
  </si>
  <si>
    <t>Spinal DMG 1 (K27M mutations/mL CSF)</t>
  </si>
  <si>
    <t>DIPG 2 (K27M mutations/mL CSF)</t>
  </si>
  <si>
    <t>Merged wells</t>
  </si>
  <si>
    <t>Total pos</t>
  </si>
  <si>
    <r>
      <t>Total neg (N</t>
    </r>
    <r>
      <rPr>
        <sz val="8"/>
        <color theme="1"/>
        <rFont val="Calibri"/>
        <family val="2"/>
        <scheme val="minor"/>
      </rPr>
      <t>neg</t>
    </r>
    <r>
      <rPr>
        <sz val="11"/>
        <color theme="1"/>
        <rFont val="Calibri"/>
        <family val="2"/>
        <scheme val="minor"/>
      </rPr>
      <t>)</t>
    </r>
  </si>
  <si>
    <t>Total droplets (N)</t>
  </si>
  <si>
    <t>(Nneg)/N</t>
  </si>
  <si>
    <r>
      <t>V</t>
    </r>
    <r>
      <rPr>
        <sz val="8"/>
        <color theme="1"/>
        <rFont val="Calibri"/>
        <family val="2"/>
        <scheme val="minor"/>
      </rPr>
      <t>droplet (nL)</t>
    </r>
  </si>
  <si>
    <t>Conc (copies/uL)</t>
  </si>
  <si>
    <t>log conc</t>
  </si>
  <si>
    <t>Dilution factor</t>
  </si>
  <si>
    <t>log dilution</t>
  </si>
  <si>
    <t>B3+C3</t>
  </si>
  <si>
    <t>B4+C4</t>
  </si>
  <si>
    <t>B5_C5</t>
  </si>
  <si>
    <t>B6+C6</t>
  </si>
  <si>
    <t>B7+C7</t>
  </si>
  <si>
    <t>B8+C8</t>
  </si>
  <si>
    <t>B9+C9</t>
  </si>
  <si>
    <t>HEX B3+C3</t>
  </si>
  <si>
    <t>HEX B4+C4</t>
  </si>
  <si>
    <t>HEX B5_C5</t>
  </si>
  <si>
    <t>HEX B6+C6</t>
  </si>
  <si>
    <t>HEX B7+C7</t>
  </si>
  <si>
    <t>HEX B8+C8</t>
  </si>
  <si>
    <t>HEX B9+C9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</si>
</sst>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vertAlign val="superscript"/>
      <sz val="10"/>
      <name val="Arial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1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165" fontId="0" fillId="0" borderId="0" xfId="0" applyNumberFormat="1" applyFont="1" applyFill="1" applyAlignment="1">
      <alignment horizontal="center"/>
    </xf>
    <xf numFmtId="0" fontId="4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"/>
  <sheetViews>
    <sheetView topLeftCell="A4" workbookViewId="0">
      <selection activeCell="J10" sqref="J10"/>
    </sheetView>
  </sheetViews>
  <sheetFormatPr defaultRowHeight="14.5" x14ac:dyDescent="0.35"/>
  <cols>
    <col min="2" max="2" width="21.6328125" bestFit="1" customWidth="1"/>
    <col min="3" max="3" width="22.90625" bestFit="1" customWidth="1"/>
    <col min="4" max="4" width="6.81640625" bestFit="1" customWidth="1"/>
    <col min="5" max="5" width="12.54296875" customWidth="1"/>
    <col min="6" max="6" width="11.6328125" bestFit="1" customWidth="1"/>
    <col min="7" max="7" width="10.36328125" bestFit="1" customWidth="1"/>
    <col min="8" max="8" width="11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-4</v>
      </c>
      <c r="B2" s="2">
        <v>293</v>
      </c>
      <c r="C2" s="2"/>
      <c r="D2" s="2"/>
      <c r="E2" s="2"/>
      <c r="F2" s="2"/>
      <c r="G2" s="2"/>
      <c r="H2" s="2"/>
    </row>
    <row r="3" spans="1:8" x14ac:dyDescent="0.35">
      <c r="A3" s="2">
        <v>-3</v>
      </c>
      <c r="B3" s="2">
        <v>245</v>
      </c>
      <c r="C3" s="2"/>
      <c r="D3" s="2"/>
      <c r="E3" s="2"/>
      <c r="F3" s="2"/>
      <c r="G3" s="2"/>
      <c r="H3" s="2"/>
    </row>
    <row r="4" spans="1:8" x14ac:dyDescent="0.35">
      <c r="A4" s="2">
        <v>-2</v>
      </c>
      <c r="B4" s="2">
        <v>251</v>
      </c>
      <c r="C4" s="2"/>
      <c r="D4" s="2"/>
      <c r="E4" s="2"/>
      <c r="F4" s="2"/>
      <c r="G4" s="2"/>
      <c r="H4" s="2"/>
    </row>
    <row r="5" spans="1:8" x14ac:dyDescent="0.35">
      <c r="A5" s="2">
        <v>-1</v>
      </c>
      <c r="B5" s="2">
        <v>302</v>
      </c>
      <c r="C5" s="2"/>
      <c r="D5" s="2"/>
      <c r="E5" s="2"/>
      <c r="F5" s="2"/>
      <c r="G5" s="2"/>
      <c r="H5" s="2"/>
    </row>
    <row r="6" spans="1:8" x14ac:dyDescent="0.35">
      <c r="A6" s="2">
        <v>0</v>
      </c>
      <c r="B6" s="2">
        <v>318</v>
      </c>
      <c r="C6" s="2"/>
      <c r="D6" s="2"/>
      <c r="E6" s="2"/>
      <c r="F6" s="2"/>
      <c r="G6" s="2"/>
      <c r="H6" s="2"/>
    </row>
    <row r="7" spans="1:8" x14ac:dyDescent="0.35">
      <c r="A7" s="2">
        <v>1</v>
      </c>
      <c r="B7" s="2">
        <v>351</v>
      </c>
      <c r="C7" s="2"/>
      <c r="D7" s="2"/>
      <c r="E7" s="2"/>
      <c r="F7" s="2"/>
      <c r="G7" s="2"/>
      <c r="H7" s="2"/>
    </row>
    <row r="8" spans="1:8" x14ac:dyDescent="0.35">
      <c r="A8" s="2">
        <v>2</v>
      </c>
      <c r="B8" s="2">
        <v>271</v>
      </c>
      <c r="C8" s="2"/>
      <c r="D8" s="2"/>
      <c r="E8" s="2"/>
      <c r="F8" s="2"/>
      <c r="G8" s="2"/>
      <c r="H8" s="2"/>
    </row>
    <row r="9" spans="1:8" x14ac:dyDescent="0.35">
      <c r="A9" s="2">
        <v>3</v>
      </c>
      <c r="B9" s="2">
        <v>253</v>
      </c>
      <c r="C9" s="2"/>
      <c r="D9" s="2"/>
      <c r="E9" s="2"/>
      <c r="F9" s="2"/>
      <c r="G9" s="2"/>
      <c r="H9" s="2"/>
    </row>
    <row r="10" spans="1:8" x14ac:dyDescent="0.35">
      <c r="A10" s="2">
        <v>4</v>
      </c>
      <c r="B10" s="2">
        <v>314</v>
      </c>
      <c r="C10" s="2"/>
      <c r="D10" s="2"/>
      <c r="E10" s="2"/>
      <c r="F10" s="2"/>
      <c r="G10" s="2"/>
      <c r="H10" s="2"/>
    </row>
    <row r="11" spans="1:8" x14ac:dyDescent="0.35">
      <c r="A11" s="2">
        <v>4</v>
      </c>
      <c r="B11" s="2">
        <v>449</v>
      </c>
      <c r="C11" s="2"/>
      <c r="D11" s="2"/>
      <c r="E11" s="2"/>
      <c r="F11" s="2"/>
      <c r="G11" s="2"/>
      <c r="H11" s="2"/>
    </row>
    <row r="12" spans="1:8" x14ac:dyDescent="0.35">
      <c r="A12" s="2">
        <v>5</v>
      </c>
      <c r="B12" s="2">
        <v>235</v>
      </c>
      <c r="C12" s="2"/>
      <c r="D12" s="2"/>
      <c r="E12" s="2"/>
      <c r="F12" s="2"/>
      <c r="G12" s="2"/>
      <c r="H12" s="2"/>
    </row>
    <row r="13" spans="1:8" x14ac:dyDescent="0.35">
      <c r="A13" s="2">
        <v>5</v>
      </c>
      <c r="B13" s="2">
        <v>262</v>
      </c>
      <c r="C13" s="2"/>
      <c r="D13" s="2"/>
      <c r="E13" s="2"/>
      <c r="F13" s="2"/>
      <c r="G13" s="2"/>
      <c r="H13" s="2"/>
    </row>
    <row r="14" spans="1:8" x14ac:dyDescent="0.35">
      <c r="A14" s="2">
        <v>7</v>
      </c>
      <c r="B14" s="2">
        <v>248</v>
      </c>
      <c r="C14" s="2"/>
      <c r="D14" s="2"/>
      <c r="E14" s="2"/>
      <c r="F14" s="2"/>
      <c r="G14" s="2"/>
      <c r="H14" s="2"/>
    </row>
    <row r="15" spans="1:8" x14ac:dyDescent="0.35">
      <c r="A15" s="2">
        <v>8</v>
      </c>
      <c r="B15" s="2">
        <v>313</v>
      </c>
      <c r="C15" s="2"/>
      <c r="D15" s="2"/>
      <c r="E15" s="2"/>
      <c r="F15" s="2"/>
      <c r="G15" s="2"/>
      <c r="H15" s="2"/>
    </row>
    <row r="16" spans="1:8" x14ac:dyDescent="0.35">
      <c r="A16" s="2">
        <v>8</v>
      </c>
      <c r="B16" s="2">
        <v>321</v>
      </c>
      <c r="C16" s="2"/>
      <c r="D16" s="2"/>
      <c r="E16" s="2"/>
      <c r="F16" s="2"/>
      <c r="G16" s="2"/>
      <c r="H16" s="2"/>
    </row>
    <row r="17" spans="1:8" x14ac:dyDescent="0.35">
      <c r="A17" s="2">
        <v>10</v>
      </c>
      <c r="B17" s="2">
        <v>298</v>
      </c>
      <c r="C17" s="2"/>
      <c r="D17" s="2"/>
      <c r="E17" s="2"/>
      <c r="F17" s="2"/>
      <c r="G17" s="2"/>
      <c r="H17" s="2"/>
    </row>
    <row r="18" spans="1:8" x14ac:dyDescent="0.35">
      <c r="A18" s="2">
        <v>11</v>
      </c>
      <c r="B18" s="2">
        <v>324</v>
      </c>
      <c r="C18" s="2"/>
      <c r="D18" s="2"/>
      <c r="E18" s="2"/>
      <c r="F18" s="2"/>
      <c r="G18" s="2"/>
      <c r="H18" s="2"/>
    </row>
    <row r="19" spans="1:8" x14ac:dyDescent="0.35">
      <c r="A19" s="2">
        <v>12</v>
      </c>
      <c r="B19" s="2">
        <v>388</v>
      </c>
      <c r="C19" s="2"/>
      <c r="D19" s="2"/>
      <c r="E19" s="2"/>
      <c r="F19" s="2"/>
      <c r="G19" s="2"/>
      <c r="H19" s="2"/>
    </row>
    <row r="20" spans="1:8" x14ac:dyDescent="0.35">
      <c r="A20" s="2">
        <v>13</v>
      </c>
      <c r="B20" s="2">
        <v>369</v>
      </c>
      <c r="C20" s="2"/>
      <c r="D20" s="2"/>
      <c r="E20" s="2"/>
      <c r="F20" s="2"/>
      <c r="G20" s="2"/>
      <c r="H20" s="2"/>
    </row>
    <row r="21" spans="1:8" x14ac:dyDescent="0.35">
      <c r="A21" s="2">
        <v>14</v>
      </c>
      <c r="B21" s="2">
        <v>236</v>
      </c>
      <c r="C21" s="2"/>
      <c r="D21" s="2"/>
      <c r="E21" s="2"/>
      <c r="F21" s="2"/>
      <c r="G21" s="2"/>
      <c r="H21" s="2"/>
    </row>
    <row r="22" spans="1:8" x14ac:dyDescent="0.35">
      <c r="A22" s="2">
        <v>15</v>
      </c>
      <c r="B22" s="2">
        <v>347</v>
      </c>
      <c r="C22" s="2"/>
      <c r="D22" s="2"/>
      <c r="E22" s="2"/>
      <c r="F22" s="2"/>
      <c r="G22" s="2"/>
      <c r="H22" s="2"/>
    </row>
    <row r="23" spans="1:8" x14ac:dyDescent="0.35">
      <c r="A23" s="2">
        <v>16</v>
      </c>
      <c r="B23" s="2">
        <v>316</v>
      </c>
      <c r="C23" s="2"/>
      <c r="D23" s="2"/>
      <c r="E23" s="2"/>
      <c r="F23" s="2"/>
      <c r="G23" s="2"/>
      <c r="H23" s="2"/>
    </row>
    <row r="24" spans="1:8" x14ac:dyDescent="0.35">
      <c r="A24" s="2">
        <v>17</v>
      </c>
      <c r="B24" s="2">
        <v>375</v>
      </c>
      <c r="C24" s="2"/>
      <c r="D24" s="2"/>
      <c r="E24" s="2"/>
      <c r="F24" s="2"/>
      <c r="G24" s="2"/>
      <c r="H24" s="2"/>
    </row>
    <row r="25" spans="1:8" x14ac:dyDescent="0.35">
      <c r="A25" s="2">
        <v>18</v>
      </c>
      <c r="B25" s="2">
        <v>325</v>
      </c>
      <c r="C25" s="2"/>
      <c r="D25" s="2"/>
      <c r="E25" s="2"/>
      <c r="F25" s="2"/>
      <c r="G25" s="2"/>
      <c r="H25" s="2"/>
    </row>
    <row r="26" spans="1:8" x14ac:dyDescent="0.35">
      <c r="A26" s="2">
        <v>18</v>
      </c>
      <c r="B26" s="2">
        <v>371</v>
      </c>
      <c r="C26" s="2"/>
      <c r="D26" s="2"/>
      <c r="E26" s="2"/>
      <c r="F26" s="2"/>
      <c r="G26" s="2"/>
      <c r="H26" s="2"/>
    </row>
    <row r="27" spans="1:8" x14ac:dyDescent="0.35">
      <c r="A27" s="2">
        <v>20</v>
      </c>
      <c r="B27" s="2">
        <v>371</v>
      </c>
      <c r="C27" s="2"/>
      <c r="D27" s="2"/>
      <c r="E27" s="2"/>
      <c r="F27" s="2"/>
      <c r="G27" s="2"/>
      <c r="H27" s="2"/>
    </row>
    <row r="28" spans="1:8" x14ac:dyDescent="0.35">
      <c r="A28" s="2">
        <v>21</v>
      </c>
      <c r="B28" s="2">
        <v>408</v>
      </c>
      <c r="C28" s="2"/>
      <c r="D28" s="2"/>
      <c r="E28" s="2"/>
      <c r="F28" s="2"/>
      <c r="G28" s="2"/>
      <c r="H28" s="2"/>
    </row>
    <row r="29" spans="1:8" x14ac:dyDescent="0.35">
      <c r="A29" s="2">
        <v>22</v>
      </c>
      <c r="B29" s="2">
        <v>398</v>
      </c>
      <c r="C29" s="2"/>
      <c r="D29" s="2"/>
      <c r="E29" s="2"/>
      <c r="F29" s="2"/>
      <c r="G29" s="2"/>
      <c r="H29" s="2"/>
    </row>
    <row r="30" spans="1:8" x14ac:dyDescent="0.35">
      <c r="A30" s="2">
        <v>23</v>
      </c>
      <c r="B30" s="2">
        <v>436</v>
      </c>
      <c r="C30" s="2"/>
      <c r="D30" s="2"/>
      <c r="E30" s="2"/>
      <c r="F30" s="2"/>
      <c r="G30" s="2"/>
      <c r="H30" s="2"/>
    </row>
    <row r="31" spans="1:8" x14ac:dyDescent="0.35">
      <c r="A31" s="2">
        <v>24</v>
      </c>
      <c r="B31" s="2">
        <v>438</v>
      </c>
      <c r="C31" s="2"/>
      <c r="D31" s="2"/>
      <c r="E31" s="2"/>
      <c r="F31" s="2"/>
      <c r="G31" s="2"/>
      <c r="H31" s="2"/>
    </row>
    <row r="32" spans="1:8" x14ac:dyDescent="0.35">
      <c r="A32" s="2">
        <v>25</v>
      </c>
      <c r="B32" s="2">
        <v>365</v>
      </c>
      <c r="C32" s="2"/>
      <c r="D32" s="2"/>
      <c r="E32" s="2"/>
      <c r="F32" s="2"/>
      <c r="G32" s="2"/>
      <c r="H32" s="2"/>
    </row>
    <row r="33" spans="1:8" x14ac:dyDescent="0.35">
      <c r="A33" s="2">
        <v>26</v>
      </c>
      <c r="B33" s="2">
        <v>377</v>
      </c>
      <c r="C33" s="2"/>
      <c r="D33" s="2"/>
      <c r="E33" s="2"/>
      <c r="F33" s="2"/>
      <c r="G33" s="2"/>
      <c r="H33" s="2"/>
    </row>
    <row r="34" spans="1:8" x14ac:dyDescent="0.35">
      <c r="A34" s="2">
        <v>27</v>
      </c>
      <c r="B34" s="2">
        <v>339</v>
      </c>
      <c r="C34" s="2"/>
      <c r="D34" s="2"/>
      <c r="E34" s="2"/>
      <c r="F34" s="2"/>
      <c r="G34" s="2"/>
      <c r="H34" s="2"/>
    </row>
    <row r="35" spans="1:8" x14ac:dyDescent="0.35">
      <c r="A35" s="2">
        <v>28</v>
      </c>
      <c r="B35" s="2">
        <v>344</v>
      </c>
      <c r="C35" s="2"/>
      <c r="D35" s="2"/>
      <c r="E35" s="2"/>
      <c r="F35" s="2"/>
      <c r="G35" s="2"/>
      <c r="H35" s="2"/>
    </row>
    <row r="36" spans="1:8" x14ac:dyDescent="0.35">
      <c r="A36" s="2">
        <v>29</v>
      </c>
      <c r="B36" s="2">
        <v>315</v>
      </c>
      <c r="C36" s="2"/>
      <c r="D36" s="2"/>
      <c r="E36" s="2"/>
      <c r="F36" s="2"/>
      <c r="G36" s="2"/>
      <c r="H36" s="2"/>
    </row>
    <row r="37" spans="1:8" x14ac:dyDescent="0.35">
      <c r="A37" s="2">
        <v>30</v>
      </c>
      <c r="B37" s="2">
        <v>356</v>
      </c>
      <c r="C37" s="2"/>
      <c r="D37" s="2"/>
      <c r="E37" s="2"/>
      <c r="F37" s="2"/>
      <c r="G37" s="2"/>
      <c r="H37" s="2"/>
    </row>
    <row r="38" spans="1:8" x14ac:dyDescent="0.35">
      <c r="A38" s="2">
        <v>31</v>
      </c>
      <c r="B38" s="2">
        <v>402</v>
      </c>
      <c r="C38" s="2"/>
      <c r="D38" s="2"/>
      <c r="E38" s="2"/>
      <c r="F38" s="2"/>
      <c r="G38" s="2"/>
      <c r="H38" s="2"/>
    </row>
    <row r="39" spans="1:8" x14ac:dyDescent="0.35">
      <c r="A39" s="2">
        <v>32</v>
      </c>
      <c r="B39" s="2">
        <v>332</v>
      </c>
      <c r="C39" s="2"/>
      <c r="D39" s="2"/>
      <c r="E39" s="2"/>
      <c r="F39" s="2"/>
      <c r="G39" s="2"/>
      <c r="H39" s="2"/>
    </row>
    <row r="40" spans="1:8" x14ac:dyDescent="0.35">
      <c r="A40" s="2">
        <v>33</v>
      </c>
      <c r="B40" s="2">
        <v>411</v>
      </c>
      <c r="C40" s="2"/>
      <c r="D40" s="2"/>
      <c r="E40" s="2"/>
      <c r="F40" s="2"/>
      <c r="G40" s="2"/>
      <c r="H40" s="2"/>
    </row>
    <row r="41" spans="1:8" x14ac:dyDescent="0.35">
      <c r="A41" s="2">
        <v>34</v>
      </c>
      <c r="B41" s="2">
        <v>338</v>
      </c>
      <c r="C41" s="2"/>
      <c r="D41" s="2"/>
      <c r="E41" s="2"/>
      <c r="F41" s="2"/>
      <c r="G41" s="2"/>
      <c r="H41" s="2"/>
    </row>
    <row r="42" spans="1:8" x14ac:dyDescent="0.35">
      <c r="A42" s="2">
        <v>35</v>
      </c>
      <c r="B42" s="2">
        <v>330</v>
      </c>
      <c r="C42" s="2"/>
      <c r="D42" s="2"/>
      <c r="E42" s="2"/>
      <c r="F42" s="2"/>
      <c r="G42" s="2"/>
      <c r="H42" s="2"/>
    </row>
    <row r="43" spans="1:8" x14ac:dyDescent="0.35">
      <c r="A43" s="2">
        <v>92</v>
      </c>
      <c r="B43" s="2"/>
      <c r="C43" s="2">
        <v>234</v>
      </c>
      <c r="D43" s="2"/>
      <c r="E43" s="2"/>
      <c r="F43" s="2"/>
      <c r="G43" s="2"/>
      <c r="H43" s="2"/>
    </row>
    <row r="44" spans="1:8" x14ac:dyDescent="0.35">
      <c r="A44" s="2">
        <v>98</v>
      </c>
      <c r="B44" s="2"/>
      <c r="C44" s="2">
        <v>205</v>
      </c>
      <c r="D44" s="2"/>
      <c r="E44" s="2"/>
      <c r="F44" s="2"/>
      <c r="G44" s="2"/>
      <c r="H44" s="2"/>
    </row>
    <row r="45" spans="1:8" x14ac:dyDescent="0.35">
      <c r="A45" s="2">
        <v>99</v>
      </c>
      <c r="B45" s="2"/>
      <c r="C45" s="2">
        <v>264</v>
      </c>
      <c r="D45" s="2"/>
      <c r="E45" s="2"/>
      <c r="F45" s="2"/>
      <c r="G45" s="2"/>
      <c r="H45" s="2"/>
    </row>
    <row r="46" spans="1:8" x14ac:dyDescent="0.35">
      <c r="A46" s="2">
        <v>100</v>
      </c>
      <c r="B46" s="2"/>
      <c r="C46" s="2">
        <v>218</v>
      </c>
      <c r="D46" s="2"/>
      <c r="E46" s="2"/>
      <c r="F46" s="2"/>
      <c r="G46" s="2"/>
      <c r="H46" s="2"/>
    </row>
    <row r="47" spans="1:8" x14ac:dyDescent="0.35">
      <c r="A47" s="2">
        <v>101</v>
      </c>
      <c r="B47" s="2"/>
      <c r="C47" s="2">
        <v>242</v>
      </c>
      <c r="D47" s="2"/>
      <c r="E47" s="2"/>
      <c r="F47" s="2"/>
      <c r="G47" s="2"/>
      <c r="H47" s="2"/>
    </row>
    <row r="48" spans="1:8" x14ac:dyDescent="0.35">
      <c r="A48" s="2">
        <v>102</v>
      </c>
      <c r="B48" s="2"/>
      <c r="C48" s="2">
        <v>251</v>
      </c>
      <c r="D48" s="2"/>
      <c r="E48" s="2"/>
      <c r="F48" s="2"/>
      <c r="G48" s="2"/>
      <c r="H48" s="2"/>
    </row>
    <row r="49" spans="1:8" x14ac:dyDescent="0.35">
      <c r="A49" s="2">
        <v>102</v>
      </c>
      <c r="B49" s="2"/>
      <c r="C49" s="2">
        <v>266</v>
      </c>
      <c r="D49" s="2"/>
      <c r="E49" s="2"/>
      <c r="F49" s="2"/>
      <c r="G49" s="2"/>
      <c r="H49" s="2"/>
    </row>
    <row r="50" spans="1:8" x14ac:dyDescent="0.35">
      <c r="A50" s="2">
        <v>103</v>
      </c>
      <c r="B50" s="2"/>
      <c r="C50" s="2">
        <v>284</v>
      </c>
      <c r="D50" s="2"/>
      <c r="E50" s="2"/>
      <c r="F50" s="2"/>
      <c r="G50" s="2"/>
      <c r="H50" s="2"/>
    </row>
    <row r="51" spans="1:8" x14ac:dyDescent="0.35">
      <c r="A51" s="2">
        <v>104</v>
      </c>
      <c r="B51" s="2"/>
      <c r="C51" s="2">
        <v>309</v>
      </c>
      <c r="D51" s="2"/>
      <c r="E51" s="2"/>
      <c r="F51" s="2"/>
      <c r="G51" s="2"/>
      <c r="H51" s="2"/>
    </row>
    <row r="52" spans="1:8" x14ac:dyDescent="0.35">
      <c r="A52" s="2">
        <v>105</v>
      </c>
      <c r="B52" s="2"/>
      <c r="C52" s="2">
        <v>301</v>
      </c>
      <c r="D52" s="2"/>
      <c r="E52" s="2"/>
      <c r="F52" s="2"/>
      <c r="G52" s="2"/>
      <c r="H52" s="2"/>
    </row>
    <row r="53" spans="1:8" x14ac:dyDescent="0.35">
      <c r="A53" s="2">
        <v>106</v>
      </c>
      <c r="B53" s="2"/>
      <c r="C53" s="2">
        <v>280</v>
      </c>
      <c r="D53" s="2"/>
      <c r="E53" s="2"/>
      <c r="F53" s="2"/>
      <c r="G53" s="2"/>
      <c r="H53" s="2"/>
    </row>
    <row r="54" spans="1:8" x14ac:dyDescent="0.35">
      <c r="A54" s="2">
        <v>107</v>
      </c>
      <c r="B54" s="2"/>
      <c r="C54" s="2">
        <v>302</v>
      </c>
      <c r="D54" s="2"/>
      <c r="E54" s="2"/>
      <c r="F54" s="2"/>
      <c r="G54" s="2"/>
      <c r="H54" s="2"/>
    </row>
    <row r="55" spans="1:8" x14ac:dyDescent="0.35">
      <c r="A55" s="2">
        <v>108</v>
      </c>
      <c r="B55" s="2"/>
      <c r="C55" s="2">
        <v>517</v>
      </c>
      <c r="D55" s="2"/>
      <c r="E55" s="2"/>
      <c r="F55" s="2"/>
      <c r="G55" s="2"/>
      <c r="H55" s="2"/>
    </row>
    <row r="56" spans="1:8" x14ac:dyDescent="0.35">
      <c r="A56" s="2">
        <v>109</v>
      </c>
      <c r="B56" s="2"/>
      <c r="C56" s="2">
        <v>520</v>
      </c>
      <c r="D56" s="2"/>
      <c r="E56" s="2"/>
      <c r="F56" s="2"/>
      <c r="G56" s="2"/>
      <c r="H56" s="2"/>
    </row>
    <row r="57" spans="1:8" x14ac:dyDescent="0.35">
      <c r="A57" s="2">
        <v>110</v>
      </c>
      <c r="B57" s="2"/>
      <c r="C57" s="2">
        <v>566</v>
      </c>
      <c r="D57" s="2"/>
      <c r="E57" s="2"/>
      <c r="F57" s="2"/>
      <c r="G57" s="2"/>
      <c r="H57" s="2"/>
    </row>
    <row r="58" spans="1:8" x14ac:dyDescent="0.35">
      <c r="A58" s="2">
        <v>111</v>
      </c>
      <c r="B58" s="2"/>
      <c r="C58" s="2">
        <v>492</v>
      </c>
      <c r="D58" s="2"/>
      <c r="E58" s="2"/>
      <c r="F58" s="2"/>
      <c r="G58" s="2"/>
      <c r="H58" s="2"/>
    </row>
    <row r="59" spans="1:8" x14ac:dyDescent="0.35">
      <c r="A59" s="2">
        <v>112</v>
      </c>
      <c r="B59" s="2"/>
      <c r="C59" s="2">
        <v>418</v>
      </c>
      <c r="D59" s="2"/>
      <c r="E59" s="2"/>
      <c r="F59" s="2"/>
      <c r="G59" s="2"/>
      <c r="H59" s="2"/>
    </row>
    <row r="60" spans="1:8" x14ac:dyDescent="0.35">
      <c r="A60" s="2">
        <v>113</v>
      </c>
      <c r="B60" s="2"/>
      <c r="C60" s="2">
        <v>401</v>
      </c>
      <c r="D60" s="2"/>
      <c r="E60" s="2"/>
      <c r="F60" s="2"/>
      <c r="G60" s="2"/>
      <c r="H60" s="2"/>
    </row>
    <row r="61" spans="1:8" x14ac:dyDescent="0.35">
      <c r="A61" s="2">
        <v>115</v>
      </c>
      <c r="B61" s="2"/>
      <c r="C61" s="2">
        <v>411</v>
      </c>
      <c r="D61" s="2"/>
      <c r="E61" s="2"/>
      <c r="F61" s="2"/>
      <c r="G61" s="2"/>
      <c r="H61" s="2"/>
    </row>
    <row r="62" spans="1:8" x14ac:dyDescent="0.35">
      <c r="A62" s="2">
        <v>118</v>
      </c>
      <c r="B62" s="2"/>
      <c r="C62" s="2">
        <v>472</v>
      </c>
      <c r="D62" s="2"/>
      <c r="E62" s="2"/>
      <c r="F62" s="2"/>
      <c r="G62" s="2"/>
      <c r="H62" s="2"/>
    </row>
    <row r="63" spans="1:8" x14ac:dyDescent="0.35">
      <c r="A63" s="2">
        <v>119</v>
      </c>
      <c r="B63" s="2"/>
      <c r="C63" s="2">
        <v>481</v>
      </c>
      <c r="D63" s="2"/>
      <c r="E63" s="2"/>
      <c r="F63" s="2"/>
      <c r="G63" s="2"/>
      <c r="H63" s="2"/>
    </row>
    <row r="64" spans="1:8" x14ac:dyDescent="0.35">
      <c r="A64" s="2">
        <v>121</v>
      </c>
      <c r="B64" s="2"/>
      <c r="C64" s="2">
        <v>684</v>
      </c>
      <c r="D64" s="2"/>
      <c r="E64" s="2"/>
      <c r="F64" s="2"/>
      <c r="G64" s="2"/>
      <c r="H64" s="2"/>
    </row>
    <row r="65" spans="1:8" x14ac:dyDescent="0.35">
      <c r="A65" s="2">
        <v>123</v>
      </c>
      <c r="B65" s="2"/>
      <c r="C65" s="2">
        <v>536</v>
      </c>
      <c r="D65" s="2"/>
      <c r="E65" s="2"/>
      <c r="F65" s="2"/>
      <c r="G65" s="2"/>
      <c r="H65" s="2"/>
    </row>
    <row r="66" spans="1:8" x14ac:dyDescent="0.35">
      <c r="A66" s="2">
        <v>125</v>
      </c>
      <c r="B66" s="2"/>
      <c r="C66" s="2">
        <v>389</v>
      </c>
      <c r="D66" s="2"/>
      <c r="E66" s="2"/>
      <c r="F66" s="2"/>
      <c r="G66" s="2"/>
      <c r="H66" s="2"/>
    </row>
    <row r="67" spans="1:8" x14ac:dyDescent="0.35">
      <c r="A67" s="2">
        <v>127</v>
      </c>
      <c r="B67" s="2"/>
      <c r="C67" s="2">
        <v>382</v>
      </c>
      <c r="D67" s="2"/>
      <c r="E67" s="2"/>
      <c r="F67" s="2"/>
      <c r="G67" s="2"/>
      <c r="H67" s="2"/>
    </row>
    <row r="68" spans="1:8" x14ac:dyDescent="0.35">
      <c r="A68" s="2">
        <v>129</v>
      </c>
      <c r="B68" s="2"/>
      <c r="C68" s="2">
        <v>319</v>
      </c>
      <c r="D68" s="2"/>
      <c r="E68" s="2"/>
      <c r="F68" s="2"/>
      <c r="G68" s="2"/>
      <c r="H68" s="2"/>
    </row>
    <row r="69" spans="1:8" x14ac:dyDescent="0.35">
      <c r="A69" s="2">
        <v>131</v>
      </c>
      <c r="B69" s="2"/>
      <c r="C69" s="2">
        <v>337</v>
      </c>
      <c r="D69" s="2"/>
      <c r="E69" s="2"/>
      <c r="F69" s="2"/>
      <c r="G69" s="2"/>
      <c r="H69" s="2"/>
    </row>
    <row r="70" spans="1:8" x14ac:dyDescent="0.35">
      <c r="A70" s="2">
        <v>-4</v>
      </c>
      <c r="B70" s="2"/>
      <c r="C70" s="2"/>
      <c r="D70" s="2">
        <v>168</v>
      </c>
      <c r="E70" s="2"/>
      <c r="F70" s="2"/>
      <c r="G70" s="2"/>
      <c r="H70" s="2"/>
    </row>
    <row r="71" spans="1:8" x14ac:dyDescent="0.35">
      <c r="A71" s="2">
        <v>0</v>
      </c>
      <c r="B71" s="2"/>
      <c r="C71" s="2"/>
      <c r="D71" s="2">
        <v>269</v>
      </c>
      <c r="E71" s="2"/>
      <c r="F71" s="2"/>
      <c r="G71" s="2"/>
      <c r="H71" s="2"/>
    </row>
    <row r="72" spans="1:8" x14ac:dyDescent="0.35">
      <c r="A72" s="2">
        <v>1</v>
      </c>
      <c r="B72" s="2"/>
      <c r="C72" s="2"/>
      <c r="D72" s="2">
        <v>174</v>
      </c>
      <c r="E72" s="2"/>
      <c r="F72" s="2"/>
      <c r="G72" s="2"/>
      <c r="H72" s="2"/>
    </row>
    <row r="73" spans="1:8" x14ac:dyDescent="0.35">
      <c r="A73" s="2">
        <v>2</v>
      </c>
      <c r="B73" s="2"/>
      <c r="C73" s="2"/>
      <c r="D73" s="2">
        <v>207</v>
      </c>
      <c r="E73" s="2"/>
      <c r="F73" s="2"/>
      <c r="G73" s="2"/>
      <c r="H73" s="2"/>
    </row>
    <row r="74" spans="1:8" x14ac:dyDescent="0.35">
      <c r="A74" s="2">
        <v>3</v>
      </c>
      <c r="B74" s="2"/>
      <c r="C74" s="2"/>
      <c r="D74" s="2">
        <v>189</v>
      </c>
      <c r="E74" s="2"/>
      <c r="F74" s="2"/>
      <c r="G74" s="2"/>
      <c r="H74" s="2"/>
    </row>
    <row r="75" spans="1:8" x14ac:dyDescent="0.35">
      <c r="A75" s="2">
        <v>4</v>
      </c>
      <c r="B75" s="2"/>
      <c r="C75" s="2"/>
      <c r="D75" s="2">
        <v>223</v>
      </c>
      <c r="E75" s="2"/>
      <c r="F75" s="2"/>
      <c r="G75" s="2"/>
      <c r="H75" s="2"/>
    </row>
    <row r="76" spans="1:8" x14ac:dyDescent="0.35">
      <c r="A76" s="2">
        <v>5</v>
      </c>
      <c r="B76" s="2"/>
      <c r="C76" s="2"/>
      <c r="D76" s="2">
        <v>215</v>
      </c>
      <c r="E76" s="2"/>
      <c r="F76" s="2"/>
      <c r="G76" s="2"/>
      <c r="H76" s="2"/>
    </row>
    <row r="77" spans="1:8" x14ac:dyDescent="0.35">
      <c r="A77" s="2">
        <v>6</v>
      </c>
      <c r="B77" s="2"/>
      <c r="C77" s="2"/>
      <c r="D77" s="2">
        <v>217</v>
      </c>
      <c r="E77" s="2"/>
      <c r="F77" s="2"/>
      <c r="G77" s="2"/>
      <c r="H77" s="2"/>
    </row>
    <row r="78" spans="1:8" x14ac:dyDescent="0.35">
      <c r="A78" s="2">
        <v>8</v>
      </c>
      <c r="B78" s="2"/>
      <c r="C78" s="2"/>
      <c r="D78" s="2">
        <v>344</v>
      </c>
      <c r="E78" s="2"/>
      <c r="F78" s="2"/>
      <c r="G78" s="2"/>
      <c r="H78" s="2"/>
    </row>
    <row r="79" spans="1:8" x14ac:dyDescent="0.35">
      <c r="A79" s="2">
        <v>9</v>
      </c>
      <c r="B79" s="2"/>
      <c r="C79" s="2"/>
      <c r="D79" s="2">
        <v>405</v>
      </c>
      <c r="E79" s="2"/>
      <c r="F79" s="2"/>
      <c r="G79" s="2"/>
      <c r="H79" s="2"/>
    </row>
    <row r="80" spans="1:8" x14ac:dyDescent="0.35">
      <c r="A80" s="2">
        <v>9</v>
      </c>
      <c r="B80" s="2"/>
      <c r="C80" s="2"/>
      <c r="D80" s="2">
        <v>596</v>
      </c>
      <c r="E80" s="2"/>
      <c r="F80" s="2"/>
      <c r="G80" s="2"/>
      <c r="H80" s="2"/>
    </row>
    <row r="81" spans="1:8" x14ac:dyDescent="0.35">
      <c r="A81" s="2">
        <v>10</v>
      </c>
      <c r="B81" s="2"/>
      <c r="C81" s="2"/>
      <c r="D81" s="2">
        <v>745</v>
      </c>
      <c r="E81" s="2"/>
      <c r="F81" s="2"/>
      <c r="G81" s="2"/>
      <c r="H81" s="2"/>
    </row>
    <row r="82" spans="1:8" x14ac:dyDescent="0.35">
      <c r="A82" s="2">
        <v>11</v>
      </c>
      <c r="B82" s="2"/>
      <c r="C82" s="2"/>
      <c r="D82" s="2">
        <v>538</v>
      </c>
      <c r="E82" s="2"/>
      <c r="F82" s="2"/>
      <c r="G82" s="2"/>
      <c r="H82" s="2"/>
    </row>
    <row r="83" spans="1:8" x14ac:dyDescent="0.35">
      <c r="A83" s="2">
        <v>12</v>
      </c>
      <c r="B83" s="2"/>
      <c r="C83" s="2"/>
      <c r="D83" s="2">
        <v>457</v>
      </c>
      <c r="E83" s="2"/>
      <c r="F83" s="2"/>
      <c r="G83" s="2"/>
      <c r="H83" s="2"/>
    </row>
    <row r="84" spans="1:8" x14ac:dyDescent="0.35">
      <c r="A84" s="2">
        <v>13</v>
      </c>
      <c r="B84" s="2"/>
      <c r="C84" s="2"/>
      <c r="D84" s="2">
        <v>344</v>
      </c>
      <c r="E84" s="2"/>
      <c r="F84" s="2"/>
      <c r="G84" s="2"/>
      <c r="H84" s="2"/>
    </row>
    <row r="85" spans="1:8" x14ac:dyDescent="0.35">
      <c r="A85" s="2">
        <v>14</v>
      </c>
      <c r="B85" s="2"/>
      <c r="C85" s="2"/>
      <c r="D85" s="2">
        <v>332</v>
      </c>
      <c r="E85" s="2"/>
      <c r="F85" s="2"/>
      <c r="G85" s="2"/>
      <c r="H85" s="2"/>
    </row>
    <row r="86" spans="1:8" x14ac:dyDescent="0.35">
      <c r="A86" s="2">
        <v>15</v>
      </c>
      <c r="B86" s="2"/>
      <c r="C86" s="2"/>
      <c r="D86" s="2">
        <v>247</v>
      </c>
      <c r="E86" s="2"/>
      <c r="F86" s="2"/>
      <c r="G86" s="2"/>
      <c r="H86" s="2"/>
    </row>
    <row r="87" spans="1:8" x14ac:dyDescent="0.35">
      <c r="A87" s="2">
        <v>16</v>
      </c>
      <c r="B87" s="2"/>
      <c r="C87" s="2"/>
      <c r="D87" s="2">
        <v>377</v>
      </c>
      <c r="E87" s="2"/>
      <c r="F87" s="2"/>
      <c r="G87" s="2"/>
      <c r="H87" s="2"/>
    </row>
    <row r="88" spans="1:8" x14ac:dyDescent="0.35">
      <c r="A88" s="2">
        <v>17</v>
      </c>
      <c r="B88" s="2"/>
      <c r="C88" s="2"/>
      <c r="D88" s="2">
        <v>370</v>
      </c>
      <c r="E88" s="2"/>
      <c r="F88" s="2"/>
      <c r="G88" s="2"/>
      <c r="H88" s="2"/>
    </row>
    <row r="89" spans="1:8" x14ac:dyDescent="0.35">
      <c r="A89" s="2">
        <v>18</v>
      </c>
      <c r="B89" s="2"/>
      <c r="C89" s="2"/>
      <c r="D89" s="2">
        <v>243</v>
      </c>
      <c r="E89" s="2"/>
      <c r="F89" s="2"/>
      <c r="G89" s="2"/>
      <c r="H89" s="2"/>
    </row>
    <row r="90" spans="1:8" x14ac:dyDescent="0.35">
      <c r="A90" s="2">
        <v>19</v>
      </c>
      <c r="B90" s="2"/>
      <c r="C90" s="2"/>
      <c r="D90" s="2">
        <v>211</v>
      </c>
      <c r="E90" s="2"/>
      <c r="F90" s="2"/>
      <c r="G90" s="2"/>
      <c r="H90" s="2"/>
    </row>
    <row r="91" spans="1:8" x14ac:dyDescent="0.35">
      <c r="A91" s="2">
        <v>20</v>
      </c>
      <c r="B91" s="2"/>
      <c r="C91" s="2"/>
      <c r="D91" s="2">
        <v>195</v>
      </c>
      <c r="E91" s="2"/>
      <c r="F91" s="2"/>
      <c r="G91" s="2"/>
      <c r="H91" s="2"/>
    </row>
    <row r="92" spans="1:8" x14ac:dyDescent="0.35">
      <c r="A92" s="2">
        <v>21</v>
      </c>
      <c r="B92" s="2"/>
      <c r="C92" s="2"/>
      <c r="D92" s="2">
        <v>262</v>
      </c>
      <c r="E92" s="2"/>
      <c r="F92" s="2"/>
      <c r="G92" s="2"/>
      <c r="H92" s="2"/>
    </row>
    <row r="93" spans="1:8" x14ac:dyDescent="0.35">
      <c r="A93" s="2">
        <v>22</v>
      </c>
      <c r="B93" s="2"/>
      <c r="C93" s="2"/>
      <c r="D93" s="2">
        <v>262</v>
      </c>
      <c r="E93" s="2"/>
      <c r="F93" s="2"/>
      <c r="G93" s="2"/>
      <c r="H93" s="2"/>
    </row>
    <row r="94" spans="1:8" x14ac:dyDescent="0.35">
      <c r="A94" s="2">
        <v>23</v>
      </c>
      <c r="B94" s="2"/>
      <c r="C94" s="2"/>
      <c r="D94" s="2">
        <v>188</v>
      </c>
      <c r="E94" s="2"/>
      <c r="F94" s="2"/>
      <c r="G94" s="2"/>
      <c r="H94" s="2"/>
    </row>
    <row r="95" spans="1:8" x14ac:dyDescent="0.35">
      <c r="A95" s="2">
        <v>24</v>
      </c>
      <c r="B95" s="2"/>
      <c r="C95" s="2"/>
      <c r="D95" s="2">
        <v>295</v>
      </c>
      <c r="E95" s="2"/>
      <c r="F95" s="2"/>
      <c r="G95" s="2"/>
      <c r="H95" s="2"/>
    </row>
    <row r="96" spans="1:8" x14ac:dyDescent="0.35">
      <c r="A96" s="2">
        <v>25</v>
      </c>
      <c r="B96" s="2"/>
      <c r="C96" s="2"/>
      <c r="D96" s="2">
        <v>212</v>
      </c>
      <c r="E96" s="2"/>
      <c r="F96" s="2"/>
      <c r="G96" s="2"/>
      <c r="H96" s="2"/>
    </row>
    <row r="97" spans="1:8" x14ac:dyDescent="0.35">
      <c r="A97" s="2">
        <v>26</v>
      </c>
      <c r="B97" s="2"/>
      <c r="C97" s="2"/>
      <c r="D97" s="2">
        <v>213</v>
      </c>
      <c r="E97" s="2"/>
      <c r="F97" s="2"/>
      <c r="G97" s="2"/>
      <c r="H97" s="2"/>
    </row>
    <row r="98" spans="1:8" x14ac:dyDescent="0.35">
      <c r="A98" s="2">
        <v>27</v>
      </c>
      <c r="B98" s="2"/>
      <c r="C98" s="2"/>
      <c r="D98" s="2">
        <v>215</v>
      </c>
      <c r="E98" s="2"/>
      <c r="F98" s="2"/>
      <c r="G98" s="2"/>
      <c r="H98" s="2"/>
    </row>
    <row r="99" spans="1:8" x14ac:dyDescent="0.35">
      <c r="A99" s="2">
        <v>28</v>
      </c>
      <c r="B99" s="2"/>
      <c r="C99" s="2"/>
      <c r="D99" s="2">
        <v>250</v>
      </c>
      <c r="E99" s="2"/>
      <c r="F99" s="2"/>
      <c r="G99" s="2"/>
      <c r="H99" s="2"/>
    </row>
    <row r="100" spans="1:8" x14ac:dyDescent="0.35">
      <c r="A100" s="2">
        <v>29</v>
      </c>
      <c r="B100" s="2"/>
      <c r="C100" s="2"/>
      <c r="D100" s="2">
        <v>254</v>
      </c>
      <c r="E100" s="2"/>
      <c r="F100" s="2"/>
      <c r="G100" s="2"/>
      <c r="H100" s="2"/>
    </row>
    <row r="101" spans="1:8" x14ac:dyDescent="0.35">
      <c r="A101" s="2">
        <v>31</v>
      </c>
      <c r="B101" s="2"/>
      <c r="C101" s="2"/>
      <c r="D101" s="2">
        <v>254</v>
      </c>
      <c r="E101" s="2"/>
      <c r="F101" s="2"/>
      <c r="G101" s="2"/>
      <c r="H101" s="2"/>
    </row>
    <row r="102" spans="1:8" x14ac:dyDescent="0.35">
      <c r="A102" s="2">
        <v>35</v>
      </c>
      <c r="B102" s="2"/>
      <c r="C102" s="2"/>
      <c r="D102" s="2">
        <v>218</v>
      </c>
      <c r="E102" s="2"/>
      <c r="F102" s="2"/>
      <c r="G102" s="2"/>
      <c r="H102" s="2"/>
    </row>
    <row r="103" spans="1:8" x14ac:dyDescent="0.35">
      <c r="A103" s="2">
        <v>37</v>
      </c>
      <c r="B103" s="2"/>
      <c r="C103" s="2"/>
      <c r="D103" s="2">
        <v>224</v>
      </c>
      <c r="E103" s="2"/>
      <c r="F103" s="2"/>
      <c r="G103" s="2"/>
      <c r="H103" s="2"/>
    </row>
    <row r="104" spans="1:8" x14ac:dyDescent="0.35">
      <c r="A104" s="2">
        <v>27</v>
      </c>
      <c r="B104" s="2"/>
      <c r="C104" s="2"/>
      <c r="D104" s="2">
        <v>339</v>
      </c>
      <c r="E104" s="2"/>
      <c r="F104" s="2"/>
      <c r="G104" s="2"/>
      <c r="H104" s="2"/>
    </row>
    <row r="105" spans="1:8" x14ac:dyDescent="0.35">
      <c r="A105" s="2">
        <v>28</v>
      </c>
      <c r="B105" s="2"/>
      <c r="C105" s="2"/>
      <c r="D105" s="2">
        <v>344</v>
      </c>
      <c r="E105" s="2"/>
      <c r="F105" s="2"/>
      <c r="G105" s="2"/>
      <c r="H105" s="2"/>
    </row>
    <row r="106" spans="1:8" x14ac:dyDescent="0.35">
      <c r="A106" s="2">
        <v>29</v>
      </c>
      <c r="B106" s="2"/>
      <c r="C106" s="2"/>
      <c r="D106" s="2">
        <v>315</v>
      </c>
      <c r="E106" s="2"/>
      <c r="F106" s="2"/>
      <c r="G106" s="2"/>
      <c r="H106" s="2"/>
    </row>
    <row r="107" spans="1:8" x14ac:dyDescent="0.35">
      <c r="A107" s="2">
        <v>30</v>
      </c>
      <c r="B107" s="2"/>
      <c r="C107" s="2"/>
      <c r="D107" s="2">
        <v>356</v>
      </c>
      <c r="E107" s="2"/>
      <c r="F107" s="2"/>
      <c r="G107" s="2"/>
      <c r="H107" s="2"/>
    </row>
    <row r="108" spans="1:8" x14ac:dyDescent="0.35">
      <c r="A108" s="2">
        <v>31</v>
      </c>
      <c r="B108" s="2"/>
      <c r="C108" s="2"/>
      <c r="D108" s="2">
        <v>402</v>
      </c>
      <c r="E108" s="2"/>
      <c r="F108" s="2"/>
      <c r="G108" s="2"/>
      <c r="H108" s="2"/>
    </row>
    <row r="109" spans="1:8" x14ac:dyDescent="0.35">
      <c r="A109" s="2">
        <v>32</v>
      </c>
      <c r="B109" s="2"/>
      <c r="C109" s="2"/>
      <c r="D109" s="2">
        <v>332</v>
      </c>
      <c r="E109" s="2"/>
      <c r="F109" s="2"/>
      <c r="G109" s="2"/>
      <c r="H109" s="2"/>
    </row>
    <row r="110" spans="1:8" x14ac:dyDescent="0.35">
      <c r="A110" s="2">
        <v>33</v>
      </c>
      <c r="B110" s="2"/>
      <c r="C110" s="2"/>
      <c r="D110" s="2">
        <v>411</v>
      </c>
      <c r="E110" s="2"/>
      <c r="F110" s="2"/>
      <c r="G110" s="2"/>
      <c r="H110" s="2"/>
    </row>
    <row r="111" spans="1:8" x14ac:dyDescent="0.35">
      <c r="A111" s="2">
        <v>34</v>
      </c>
      <c r="B111" s="2"/>
      <c r="C111" s="2"/>
      <c r="D111" s="2">
        <v>338</v>
      </c>
      <c r="E111" s="2"/>
      <c r="F111" s="2"/>
      <c r="G111" s="2"/>
      <c r="H111" s="2"/>
    </row>
    <row r="112" spans="1:8" x14ac:dyDescent="0.35">
      <c r="A112" s="2">
        <v>35</v>
      </c>
      <c r="B112" s="2"/>
      <c r="C112" s="2"/>
      <c r="D112" s="2">
        <v>330</v>
      </c>
      <c r="E112" s="2"/>
      <c r="F112" s="2"/>
      <c r="G112" s="2"/>
      <c r="H112" s="2"/>
    </row>
    <row r="113" spans="1:8" x14ac:dyDescent="0.35">
      <c r="A113" s="2">
        <v>-6</v>
      </c>
      <c r="B113" s="2"/>
      <c r="C113" s="2"/>
      <c r="D113" s="2"/>
      <c r="E113" s="2">
        <v>153</v>
      </c>
      <c r="F113" s="2"/>
      <c r="G113" s="2"/>
      <c r="H113" s="2"/>
    </row>
    <row r="114" spans="1:8" x14ac:dyDescent="0.35">
      <c r="A114" s="2">
        <v>-4</v>
      </c>
      <c r="B114" s="2"/>
      <c r="C114" s="2"/>
      <c r="D114" s="2"/>
      <c r="E114" s="2">
        <v>182</v>
      </c>
      <c r="F114" s="2"/>
      <c r="G114" s="2"/>
      <c r="H114" s="2"/>
    </row>
    <row r="115" spans="1:8" x14ac:dyDescent="0.35">
      <c r="A115" s="2">
        <v>0</v>
      </c>
      <c r="B115" s="2"/>
      <c r="C115" s="2"/>
      <c r="D115" s="2"/>
      <c r="E115" s="2">
        <v>187</v>
      </c>
      <c r="F115" s="2"/>
      <c r="G115" s="2"/>
      <c r="H115" s="2"/>
    </row>
    <row r="116" spans="1:8" x14ac:dyDescent="0.35">
      <c r="A116" s="2">
        <v>1</v>
      </c>
      <c r="B116" s="2"/>
      <c r="C116" s="2"/>
      <c r="D116" s="2"/>
      <c r="E116" s="2">
        <v>217</v>
      </c>
      <c r="F116" s="2"/>
      <c r="G116" s="2"/>
      <c r="H116" s="2"/>
    </row>
    <row r="117" spans="1:8" x14ac:dyDescent="0.35">
      <c r="A117" s="2">
        <v>2</v>
      </c>
      <c r="B117" s="2"/>
      <c r="C117" s="2"/>
      <c r="D117" s="2"/>
      <c r="E117" s="2">
        <v>210</v>
      </c>
      <c r="F117" s="2"/>
      <c r="G117" s="2"/>
      <c r="H117" s="2"/>
    </row>
    <row r="118" spans="1:8" x14ac:dyDescent="0.35">
      <c r="A118" s="2">
        <v>3</v>
      </c>
      <c r="B118" s="2"/>
      <c r="C118" s="2"/>
      <c r="D118" s="2"/>
      <c r="E118" s="2">
        <v>222</v>
      </c>
      <c r="F118" s="2"/>
      <c r="G118" s="2"/>
      <c r="H118" s="2"/>
    </row>
    <row r="119" spans="1:8" x14ac:dyDescent="0.35">
      <c r="A119" s="2">
        <v>4</v>
      </c>
      <c r="B119" s="2"/>
      <c r="C119" s="2"/>
      <c r="D119" s="2"/>
      <c r="E119" s="2">
        <v>138</v>
      </c>
      <c r="F119" s="2"/>
      <c r="G119" s="2"/>
      <c r="H119" s="2"/>
    </row>
    <row r="120" spans="1:8" x14ac:dyDescent="0.35">
      <c r="A120" s="2">
        <v>4</v>
      </c>
      <c r="B120" s="2"/>
      <c r="C120" s="2"/>
      <c r="D120" s="2"/>
      <c r="E120" s="2">
        <v>140</v>
      </c>
      <c r="F120" s="2"/>
      <c r="G120" s="2"/>
      <c r="H120" s="2"/>
    </row>
    <row r="121" spans="1:8" x14ac:dyDescent="0.35">
      <c r="A121" s="2">
        <v>5</v>
      </c>
      <c r="B121" s="2"/>
      <c r="C121" s="2"/>
      <c r="D121" s="2"/>
      <c r="E121" s="2">
        <v>192</v>
      </c>
      <c r="F121" s="2"/>
      <c r="G121" s="2"/>
      <c r="H121" s="2"/>
    </row>
    <row r="122" spans="1:8" x14ac:dyDescent="0.35">
      <c r="A122" s="2">
        <v>7</v>
      </c>
      <c r="B122" s="2"/>
      <c r="C122" s="2"/>
      <c r="D122" s="2"/>
      <c r="E122" s="2">
        <v>261</v>
      </c>
      <c r="F122" s="2"/>
      <c r="G122" s="2"/>
      <c r="H122" s="2"/>
    </row>
    <row r="123" spans="1:8" x14ac:dyDescent="0.35">
      <c r="A123" s="2">
        <v>7</v>
      </c>
      <c r="B123" s="2"/>
      <c r="C123" s="2"/>
      <c r="D123" s="2"/>
      <c r="E123" s="2">
        <v>125</v>
      </c>
      <c r="F123" s="2"/>
      <c r="G123" s="2"/>
      <c r="H123" s="2"/>
    </row>
    <row r="124" spans="1:8" x14ac:dyDescent="0.35">
      <c r="A124" s="2">
        <v>8</v>
      </c>
      <c r="B124" s="2"/>
      <c r="C124" s="2"/>
      <c r="D124" s="2"/>
      <c r="E124" s="2">
        <v>287</v>
      </c>
      <c r="F124" s="2"/>
      <c r="G124" s="2"/>
      <c r="H124" s="2"/>
    </row>
    <row r="125" spans="1:8" x14ac:dyDescent="0.35">
      <c r="A125" s="2">
        <v>10</v>
      </c>
      <c r="B125" s="2"/>
      <c r="C125" s="2"/>
      <c r="D125" s="2"/>
      <c r="E125" s="2">
        <v>262</v>
      </c>
      <c r="F125" s="2"/>
      <c r="G125" s="2"/>
      <c r="H125" s="2"/>
    </row>
    <row r="126" spans="1:8" x14ac:dyDescent="0.35">
      <c r="A126" s="2">
        <v>11</v>
      </c>
      <c r="B126" s="2"/>
      <c r="C126" s="2"/>
      <c r="D126" s="2"/>
      <c r="E126" s="2">
        <v>209</v>
      </c>
      <c r="F126" s="2"/>
      <c r="G126" s="2"/>
      <c r="H126" s="2"/>
    </row>
    <row r="127" spans="1:8" x14ac:dyDescent="0.35">
      <c r="A127" s="2">
        <v>12</v>
      </c>
      <c r="B127" s="2"/>
      <c r="C127" s="2"/>
      <c r="D127" s="2"/>
      <c r="E127" s="2">
        <v>224</v>
      </c>
      <c r="F127" s="2"/>
      <c r="G127" s="2"/>
      <c r="H127" s="2"/>
    </row>
    <row r="128" spans="1:8" x14ac:dyDescent="0.35">
      <c r="A128" s="2">
        <v>13</v>
      </c>
      <c r="B128" s="2"/>
      <c r="C128" s="2"/>
      <c r="D128" s="2"/>
      <c r="E128" s="2">
        <v>283</v>
      </c>
      <c r="F128" s="2"/>
      <c r="G128" s="2"/>
      <c r="H128" s="2"/>
    </row>
    <row r="129" spans="1:8" x14ac:dyDescent="0.35">
      <c r="A129" s="2">
        <v>14</v>
      </c>
      <c r="B129" s="2"/>
      <c r="C129" s="2"/>
      <c r="D129" s="2"/>
      <c r="E129" s="2">
        <v>312</v>
      </c>
      <c r="F129" s="2"/>
      <c r="G129" s="2"/>
      <c r="H129" s="2"/>
    </row>
    <row r="130" spans="1:8" x14ac:dyDescent="0.35">
      <c r="A130" s="2">
        <v>14</v>
      </c>
      <c r="B130" s="2"/>
      <c r="C130" s="2"/>
      <c r="D130" s="2"/>
      <c r="E130" s="2">
        <v>301</v>
      </c>
      <c r="F130" s="2"/>
      <c r="G130" s="2"/>
      <c r="H130" s="2"/>
    </row>
    <row r="131" spans="1:8" x14ac:dyDescent="0.35">
      <c r="A131" s="2">
        <v>15</v>
      </c>
      <c r="B131" s="2"/>
      <c r="C131" s="2"/>
      <c r="D131" s="2"/>
      <c r="E131" s="2">
        <v>267</v>
      </c>
      <c r="F131" s="2"/>
      <c r="G131" s="2"/>
      <c r="H131" s="2"/>
    </row>
    <row r="132" spans="1:8" x14ac:dyDescent="0.35">
      <c r="A132" s="2">
        <v>16</v>
      </c>
      <c r="B132" s="2"/>
      <c r="C132" s="2"/>
      <c r="D132" s="2"/>
      <c r="E132" s="2">
        <v>240</v>
      </c>
      <c r="F132" s="2"/>
      <c r="G132" s="2"/>
      <c r="H132" s="2"/>
    </row>
    <row r="133" spans="1:8" x14ac:dyDescent="0.35">
      <c r="A133" s="2">
        <v>17</v>
      </c>
      <c r="B133" s="2"/>
      <c r="C133" s="2"/>
      <c r="D133" s="2"/>
      <c r="E133" s="2">
        <v>311</v>
      </c>
      <c r="F133" s="2"/>
      <c r="G133" s="2"/>
      <c r="H133" s="2"/>
    </row>
    <row r="134" spans="1:8" x14ac:dyDescent="0.35">
      <c r="A134" s="2">
        <v>18</v>
      </c>
      <c r="B134" s="2"/>
      <c r="C134" s="2"/>
      <c r="D134" s="2"/>
      <c r="E134" s="2">
        <v>297</v>
      </c>
      <c r="F134" s="2"/>
      <c r="G134" s="2"/>
      <c r="H134" s="2"/>
    </row>
    <row r="135" spans="1:8" x14ac:dyDescent="0.35">
      <c r="A135" s="2">
        <v>20</v>
      </c>
      <c r="B135" s="2"/>
      <c r="C135" s="2"/>
      <c r="D135" s="2"/>
      <c r="E135" s="2">
        <v>314</v>
      </c>
      <c r="F135" s="2"/>
      <c r="G135" s="2"/>
      <c r="H135" s="2"/>
    </row>
    <row r="136" spans="1:8" x14ac:dyDescent="0.35">
      <c r="A136" s="2">
        <v>21</v>
      </c>
      <c r="B136" s="2"/>
      <c r="C136" s="2"/>
      <c r="D136" s="2"/>
      <c r="E136" s="2">
        <v>252</v>
      </c>
      <c r="F136" s="2"/>
      <c r="G136" s="2"/>
      <c r="H136" s="2"/>
    </row>
    <row r="137" spans="1:8" x14ac:dyDescent="0.35">
      <c r="A137" s="2">
        <v>22</v>
      </c>
      <c r="B137" s="2"/>
      <c r="C137" s="2"/>
      <c r="D137" s="2"/>
      <c r="E137" s="2">
        <v>224</v>
      </c>
      <c r="F137" s="2"/>
      <c r="G137" s="2"/>
      <c r="H137" s="2"/>
    </row>
    <row r="138" spans="1:8" x14ac:dyDescent="0.35">
      <c r="A138" s="2">
        <v>26</v>
      </c>
      <c r="B138" s="2"/>
      <c r="C138" s="2"/>
      <c r="D138" s="2"/>
      <c r="E138" s="2">
        <v>210</v>
      </c>
      <c r="F138" s="2"/>
      <c r="G138" s="2"/>
      <c r="H138" s="2"/>
    </row>
    <row r="139" spans="1:8" x14ac:dyDescent="0.35">
      <c r="A139" s="2">
        <v>107</v>
      </c>
      <c r="B139" s="2"/>
      <c r="C139" s="2"/>
      <c r="D139" s="2"/>
      <c r="E139" s="2"/>
      <c r="F139" s="2">
        <v>183</v>
      </c>
      <c r="G139" s="2"/>
      <c r="H139" s="2"/>
    </row>
    <row r="140" spans="1:8" x14ac:dyDescent="0.35">
      <c r="A140" s="2">
        <v>108</v>
      </c>
      <c r="B140" s="2"/>
      <c r="C140" s="2"/>
      <c r="D140" s="2"/>
      <c r="E140" s="2"/>
      <c r="F140" s="2">
        <v>172</v>
      </c>
      <c r="G140" s="2"/>
      <c r="H140" s="2"/>
    </row>
    <row r="141" spans="1:8" x14ac:dyDescent="0.35">
      <c r="A141" s="2">
        <v>108</v>
      </c>
      <c r="B141" s="2"/>
      <c r="C141" s="2"/>
      <c r="D141" s="2"/>
      <c r="E141" s="2"/>
      <c r="F141" s="2">
        <v>170</v>
      </c>
      <c r="G141" s="2"/>
      <c r="H141" s="2"/>
    </row>
    <row r="142" spans="1:8" x14ac:dyDescent="0.35">
      <c r="A142" s="2">
        <v>109</v>
      </c>
      <c r="B142" s="2"/>
      <c r="C142" s="2"/>
      <c r="D142" s="2"/>
      <c r="E142" s="2"/>
      <c r="F142" s="2">
        <v>147</v>
      </c>
      <c r="G142" s="2"/>
      <c r="H142" s="2"/>
    </row>
    <row r="143" spans="1:8" x14ac:dyDescent="0.35">
      <c r="A143" s="2">
        <v>110</v>
      </c>
      <c r="B143" s="2"/>
      <c r="C143" s="2"/>
      <c r="D143" s="2"/>
      <c r="E143" s="2"/>
      <c r="F143" s="2">
        <v>248</v>
      </c>
      <c r="G143" s="2"/>
      <c r="H143" s="2"/>
    </row>
    <row r="144" spans="1:8" x14ac:dyDescent="0.35">
      <c r="A144" s="2">
        <v>111</v>
      </c>
      <c r="B144" s="2"/>
      <c r="C144" s="2"/>
      <c r="D144" s="2"/>
      <c r="E144" s="2"/>
      <c r="F144" s="2">
        <v>220</v>
      </c>
      <c r="G144" s="2"/>
      <c r="H144" s="2"/>
    </row>
    <row r="145" spans="1:8" x14ac:dyDescent="0.35">
      <c r="A145" s="2">
        <v>112</v>
      </c>
      <c r="B145" s="2"/>
      <c r="C145" s="2"/>
      <c r="D145" s="2"/>
      <c r="E145" s="2"/>
      <c r="F145" s="2">
        <v>214</v>
      </c>
      <c r="G145" s="2"/>
      <c r="H145" s="2"/>
    </row>
    <row r="146" spans="1:8" x14ac:dyDescent="0.35">
      <c r="A146" s="2">
        <v>113</v>
      </c>
      <c r="B146" s="2"/>
      <c r="C146" s="2"/>
      <c r="D146" s="2"/>
      <c r="E146" s="2"/>
      <c r="F146" s="2">
        <v>183</v>
      </c>
      <c r="G146" s="2"/>
      <c r="H146" s="2"/>
    </row>
    <row r="147" spans="1:8" x14ac:dyDescent="0.35">
      <c r="A147" s="2">
        <v>114</v>
      </c>
      <c r="B147" s="2"/>
      <c r="C147" s="2"/>
      <c r="D147" s="2"/>
      <c r="E147" s="2"/>
      <c r="F147" s="2">
        <v>251</v>
      </c>
      <c r="G147" s="2"/>
      <c r="H147" s="2"/>
    </row>
    <row r="148" spans="1:8" x14ac:dyDescent="0.35">
      <c r="A148" s="2">
        <v>115</v>
      </c>
      <c r="B148" s="2"/>
      <c r="C148" s="2"/>
      <c r="D148" s="2"/>
      <c r="E148" s="2"/>
      <c r="F148" s="2">
        <v>374</v>
      </c>
      <c r="G148" s="2"/>
      <c r="H148" s="2"/>
    </row>
    <row r="149" spans="1:8" x14ac:dyDescent="0.35">
      <c r="A149" s="2">
        <v>116</v>
      </c>
      <c r="B149" s="2"/>
      <c r="C149" s="2"/>
      <c r="D149" s="2"/>
      <c r="E149" s="2"/>
      <c r="F149" s="2">
        <v>208</v>
      </c>
      <c r="G149" s="2"/>
      <c r="H149" s="2"/>
    </row>
    <row r="150" spans="1:8" x14ac:dyDescent="0.35">
      <c r="A150" s="2">
        <v>117</v>
      </c>
      <c r="B150" s="2"/>
      <c r="C150" s="2"/>
      <c r="D150" s="2"/>
      <c r="E150" s="2"/>
      <c r="F150" s="2">
        <v>281</v>
      </c>
      <c r="G150" s="2"/>
      <c r="H150" s="2"/>
    </row>
    <row r="151" spans="1:8" x14ac:dyDescent="0.35">
      <c r="A151" s="2">
        <v>121</v>
      </c>
      <c r="B151" s="2"/>
      <c r="C151" s="2"/>
      <c r="D151" s="2"/>
      <c r="E151" s="2"/>
      <c r="F151" s="2">
        <v>263</v>
      </c>
      <c r="G151" s="2"/>
      <c r="H151" s="2"/>
    </row>
    <row r="152" spans="1:8" x14ac:dyDescent="0.35">
      <c r="A152" s="2">
        <v>139</v>
      </c>
      <c r="B152" s="2"/>
      <c r="C152" s="2"/>
      <c r="D152" s="2"/>
      <c r="E152" s="2"/>
      <c r="F152" s="2">
        <v>150</v>
      </c>
      <c r="G152" s="2"/>
      <c r="H152" s="2"/>
    </row>
    <row r="153" spans="1:8" x14ac:dyDescent="0.35">
      <c r="A153" s="2">
        <v>-4</v>
      </c>
      <c r="B153" s="2"/>
      <c r="C153" s="2"/>
      <c r="D153" s="2"/>
      <c r="E153" s="2"/>
      <c r="F153" s="2"/>
      <c r="G153" s="2">
        <v>225</v>
      </c>
      <c r="H153" s="2"/>
    </row>
    <row r="154" spans="1:8" x14ac:dyDescent="0.35">
      <c r="A154" s="2">
        <v>-3</v>
      </c>
      <c r="B154" s="2"/>
      <c r="C154" s="2"/>
      <c r="D154" s="2"/>
      <c r="E154" s="2"/>
      <c r="F154" s="2"/>
      <c r="G154" s="2">
        <v>218</v>
      </c>
      <c r="H154" s="2"/>
    </row>
    <row r="155" spans="1:8" x14ac:dyDescent="0.35">
      <c r="A155" s="2">
        <v>0</v>
      </c>
      <c r="B155" s="2"/>
      <c r="C155" s="2"/>
      <c r="D155" s="2"/>
      <c r="E155" s="2"/>
      <c r="F155" s="2"/>
      <c r="G155" s="2">
        <v>201</v>
      </c>
      <c r="H155" s="2"/>
    </row>
    <row r="156" spans="1:8" x14ac:dyDescent="0.35">
      <c r="A156" s="2">
        <v>1</v>
      </c>
      <c r="B156" s="2"/>
      <c r="C156" s="2"/>
      <c r="D156" s="2"/>
      <c r="E156" s="2"/>
      <c r="F156" s="2"/>
      <c r="G156" s="2">
        <v>230</v>
      </c>
      <c r="H156" s="2"/>
    </row>
    <row r="157" spans="1:8" x14ac:dyDescent="0.35">
      <c r="A157" s="2">
        <v>2</v>
      </c>
      <c r="B157" s="2"/>
      <c r="C157" s="2"/>
      <c r="D157" s="2"/>
      <c r="E157" s="2"/>
      <c r="F157" s="2"/>
      <c r="G157" s="2">
        <v>215</v>
      </c>
      <c r="H157" s="2"/>
    </row>
    <row r="158" spans="1:8" x14ac:dyDescent="0.35">
      <c r="A158" s="2">
        <v>3</v>
      </c>
      <c r="B158" s="2"/>
      <c r="C158" s="2"/>
      <c r="D158" s="2"/>
      <c r="E158" s="2"/>
      <c r="F158" s="2"/>
      <c r="G158" s="2">
        <v>258</v>
      </c>
      <c r="H158" s="2"/>
    </row>
    <row r="159" spans="1:8" x14ac:dyDescent="0.35">
      <c r="A159" s="2">
        <v>4</v>
      </c>
      <c r="B159" s="2"/>
      <c r="C159" s="2"/>
      <c r="D159" s="2"/>
      <c r="E159" s="2"/>
      <c r="F159" s="2"/>
      <c r="G159" s="2">
        <v>230</v>
      </c>
      <c r="H159" s="2"/>
    </row>
    <row r="160" spans="1:8" x14ac:dyDescent="0.35">
      <c r="A160" s="2">
        <v>4</v>
      </c>
      <c r="B160" s="2"/>
      <c r="C160" s="2"/>
      <c r="D160" s="2"/>
      <c r="E160" s="2"/>
      <c r="F160" s="2"/>
      <c r="G160" s="2">
        <v>218</v>
      </c>
      <c r="H160" s="2"/>
    </row>
    <row r="161" spans="1:8" x14ac:dyDescent="0.35">
      <c r="A161" s="2">
        <v>6</v>
      </c>
      <c r="B161" s="2"/>
      <c r="C161" s="2"/>
      <c r="D161" s="2"/>
      <c r="E161" s="2"/>
      <c r="F161" s="2"/>
      <c r="G161" s="2">
        <v>226</v>
      </c>
      <c r="H161" s="2"/>
    </row>
    <row r="162" spans="1:8" x14ac:dyDescent="0.35">
      <c r="A162" s="2">
        <v>6</v>
      </c>
      <c r="B162" s="2"/>
      <c r="C162" s="2"/>
      <c r="D162" s="2"/>
      <c r="E162" s="2"/>
      <c r="F162" s="2"/>
      <c r="G162" s="2">
        <v>215</v>
      </c>
      <c r="H162" s="2"/>
    </row>
    <row r="163" spans="1:8" x14ac:dyDescent="0.35">
      <c r="A163" s="2">
        <v>7</v>
      </c>
      <c r="B163" s="2"/>
      <c r="C163" s="2"/>
      <c r="D163" s="2"/>
      <c r="E163" s="2"/>
      <c r="F163" s="2"/>
      <c r="G163" s="2">
        <v>230</v>
      </c>
      <c r="H163" s="2"/>
    </row>
    <row r="164" spans="1:8" x14ac:dyDescent="0.35">
      <c r="A164" s="2">
        <v>7</v>
      </c>
      <c r="B164" s="2"/>
      <c r="C164" s="2"/>
      <c r="D164" s="2"/>
      <c r="E164" s="2"/>
      <c r="F164" s="2"/>
      <c r="G164" s="2">
        <v>203</v>
      </c>
      <c r="H164" s="2"/>
    </row>
    <row r="165" spans="1:8" x14ac:dyDescent="0.35">
      <c r="A165" s="2">
        <v>8</v>
      </c>
      <c r="B165" s="2"/>
      <c r="C165" s="2"/>
      <c r="D165" s="2"/>
      <c r="E165" s="2"/>
      <c r="F165" s="2"/>
      <c r="G165" s="2">
        <v>395</v>
      </c>
      <c r="H165" s="2"/>
    </row>
    <row r="166" spans="1:8" x14ac:dyDescent="0.35">
      <c r="A166" s="2">
        <v>10</v>
      </c>
      <c r="B166" s="2"/>
      <c r="C166" s="2"/>
      <c r="D166" s="2"/>
      <c r="E166" s="2"/>
      <c r="F166" s="2"/>
      <c r="G166" s="2">
        <v>411</v>
      </c>
      <c r="H166" s="2"/>
    </row>
    <row r="167" spans="1:8" x14ac:dyDescent="0.35">
      <c r="A167" s="2">
        <v>10</v>
      </c>
      <c r="B167" s="2"/>
      <c r="C167" s="2"/>
      <c r="D167" s="2"/>
      <c r="E167" s="2"/>
      <c r="F167" s="2"/>
      <c r="G167" s="2">
        <v>365</v>
      </c>
      <c r="H167" s="2"/>
    </row>
    <row r="168" spans="1:8" x14ac:dyDescent="0.35">
      <c r="A168" s="2">
        <v>12</v>
      </c>
      <c r="B168" s="2"/>
      <c r="C168" s="2"/>
      <c r="D168" s="2"/>
      <c r="E168" s="2"/>
      <c r="F168" s="2"/>
      <c r="G168" s="2">
        <v>367</v>
      </c>
      <c r="H168" s="2"/>
    </row>
    <row r="169" spans="1:8" x14ac:dyDescent="0.35">
      <c r="A169" s="2">
        <v>13</v>
      </c>
      <c r="B169" s="2"/>
      <c r="C169" s="2"/>
      <c r="D169" s="2"/>
      <c r="E169" s="2"/>
      <c r="F169" s="2"/>
      <c r="G169" s="2">
        <v>313</v>
      </c>
      <c r="H169" s="2"/>
    </row>
    <row r="170" spans="1:8" x14ac:dyDescent="0.35">
      <c r="A170" s="2">
        <v>14</v>
      </c>
      <c r="B170" s="2"/>
      <c r="C170" s="2"/>
      <c r="D170" s="2"/>
      <c r="E170" s="2"/>
      <c r="F170" s="2"/>
      <c r="G170" s="2">
        <v>326</v>
      </c>
      <c r="H170" s="2"/>
    </row>
    <row r="171" spans="1:8" x14ac:dyDescent="0.35">
      <c r="A171" s="2">
        <v>15</v>
      </c>
      <c r="B171" s="2"/>
      <c r="C171" s="2"/>
      <c r="D171" s="2"/>
      <c r="E171" s="2"/>
      <c r="F171" s="2"/>
      <c r="G171" s="2">
        <v>317</v>
      </c>
      <c r="H171" s="2"/>
    </row>
    <row r="172" spans="1:8" x14ac:dyDescent="0.35">
      <c r="A172" s="2">
        <v>16</v>
      </c>
      <c r="B172" s="2"/>
      <c r="C172" s="2"/>
      <c r="D172" s="2"/>
      <c r="E172" s="2"/>
      <c r="F172" s="2"/>
      <c r="G172" s="2">
        <v>293</v>
      </c>
      <c r="H172" s="2"/>
    </row>
    <row r="173" spans="1:8" x14ac:dyDescent="0.35">
      <c r="A173" s="2">
        <v>20</v>
      </c>
      <c r="B173" s="2"/>
      <c r="C173" s="2"/>
      <c r="D173" s="2"/>
      <c r="E173" s="2"/>
      <c r="F173" s="2"/>
      <c r="G173" s="2">
        <v>245</v>
      </c>
      <c r="H173" s="2"/>
    </row>
    <row r="174" spans="1:8" x14ac:dyDescent="0.35">
      <c r="A174" s="2">
        <v>27</v>
      </c>
      <c r="B174" s="2"/>
      <c r="C174" s="2"/>
      <c r="D174" s="2"/>
      <c r="E174" s="2"/>
      <c r="F174" s="2"/>
      <c r="G174" s="2">
        <v>261</v>
      </c>
      <c r="H174" s="2"/>
    </row>
    <row r="175" spans="1:8" x14ac:dyDescent="0.35">
      <c r="A175" s="2">
        <v>31</v>
      </c>
      <c r="B175" s="2"/>
      <c r="C175" s="2"/>
      <c r="D175" s="2"/>
      <c r="E175" s="2"/>
      <c r="F175" s="2"/>
      <c r="G175" s="2">
        <v>210</v>
      </c>
      <c r="H175" s="2"/>
    </row>
    <row r="176" spans="1:8" x14ac:dyDescent="0.35">
      <c r="A176" s="2">
        <v>84</v>
      </c>
      <c r="B176" s="2"/>
      <c r="C176" s="2"/>
      <c r="D176" s="2"/>
      <c r="E176" s="2"/>
      <c r="F176" s="2"/>
      <c r="G176" s="2"/>
      <c r="H176" s="2">
        <v>304</v>
      </c>
    </row>
    <row r="177" spans="1:8" x14ac:dyDescent="0.35">
      <c r="A177" s="2">
        <v>85</v>
      </c>
      <c r="B177" s="2"/>
      <c r="C177" s="2"/>
      <c r="D177" s="2"/>
      <c r="E177" s="2"/>
      <c r="F177" s="2"/>
      <c r="G177" s="2"/>
      <c r="H177" s="2">
        <v>252</v>
      </c>
    </row>
    <row r="178" spans="1:8" x14ac:dyDescent="0.35">
      <c r="A178" s="2">
        <v>86</v>
      </c>
      <c r="B178" s="2"/>
      <c r="C178" s="2"/>
      <c r="D178" s="2"/>
      <c r="E178" s="2"/>
      <c r="F178" s="2"/>
      <c r="G178" s="2"/>
      <c r="H178" s="2">
        <v>266</v>
      </c>
    </row>
    <row r="179" spans="1:8" x14ac:dyDescent="0.35">
      <c r="A179" s="2">
        <v>87</v>
      </c>
      <c r="B179" s="2"/>
      <c r="C179" s="2"/>
      <c r="D179" s="2"/>
      <c r="E179" s="2"/>
      <c r="F179" s="2"/>
      <c r="G179" s="2"/>
      <c r="H179" s="2">
        <v>240</v>
      </c>
    </row>
    <row r="180" spans="1:8" x14ac:dyDescent="0.35">
      <c r="A180" s="2">
        <v>88</v>
      </c>
      <c r="B180" s="2"/>
      <c r="C180" s="2"/>
      <c r="D180" s="2"/>
      <c r="E180" s="2"/>
      <c r="F180" s="2"/>
      <c r="G180" s="2"/>
      <c r="H180" s="2">
        <v>237</v>
      </c>
    </row>
    <row r="181" spans="1:8" x14ac:dyDescent="0.35">
      <c r="A181" s="2">
        <v>89</v>
      </c>
      <c r="B181" s="2"/>
      <c r="C181" s="2"/>
      <c r="D181" s="2"/>
      <c r="E181" s="2"/>
      <c r="F181" s="2"/>
      <c r="G181" s="2"/>
      <c r="H181" s="2">
        <v>339</v>
      </c>
    </row>
    <row r="182" spans="1:8" x14ac:dyDescent="0.35">
      <c r="A182" s="2">
        <v>90</v>
      </c>
      <c r="B182" s="2"/>
      <c r="C182" s="2"/>
      <c r="D182" s="2"/>
      <c r="E182" s="2"/>
      <c r="F182" s="2"/>
      <c r="G182" s="2"/>
      <c r="H182" s="2">
        <v>390</v>
      </c>
    </row>
    <row r="183" spans="1:8" x14ac:dyDescent="0.35">
      <c r="A183" s="2">
        <v>91</v>
      </c>
      <c r="B183" s="2"/>
      <c r="C183" s="2"/>
      <c r="D183" s="2"/>
      <c r="E183" s="2"/>
      <c r="F183" s="2"/>
      <c r="G183" s="2"/>
      <c r="H183" s="2">
        <v>288</v>
      </c>
    </row>
    <row r="184" spans="1:8" x14ac:dyDescent="0.35">
      <c r="A184" s="2">
        <v>92</v>
      </c>
      <c r="B184" s="2"/>
      <c r="C184" s="2"/>
      <c r="D184" s="2"/>
      <c r="E184" s="2"/>
      <c r="F184" s="2"/>
      <c r="G184" s="2"/>
      <c r="H184" s="2">
        <v>260</v>
      </c>
    </row>
    <row r="185" spans="1:8" x14ac:dyDescent="0.35">
      <c r="A185" s="2">
        <v>93</v>
      </c>
      <c r="B185" s="2"/>
      <c r="C185" s="2"/>
      <c r="D185" s="2"/>
      <c r="E185" s="2"/>
      <c r="F185" s="2"/>
      <c r="G185" s="2"/>
      <c r="H185" s="2">
        <v>269</v>
      </c>
    </row>
    <row r="186" spans="1:8" x14ac:dyDescent="0.35">
      <c r="A186" s="2">
        <v>94</v>
      </c>
      <c r="B186" s="2"/>
      <c r="C186" s="2"/>
      <c r="D186" s="2"/>
      <c r="E186" s="2"/>
      <c r="F186" s="2"/>
      <c r="G186" s="2"/>
      <c r="H186" s="2">
        <v>250</v>
      </c>
    </row>
    <row r="187" spans="1:8" x14ac:dyDescent="0.35">
      <c r="A187" s="2">
        <v>96</v>
      </c>
      <c r="B187" s="2"/>
      <c r="C187" s="2"/>
      <c r="D187" s="2"/>
      <c r="E187" s="2"/>
      <c r="F187" s="2"/>
      <c r="G187" s="2"/>
      <c r="H187" s="2">
        <v>317</v>
      </c>
    </row>
    <row r="188" spans="1:8" x14ac:dyDescent="0.35">
      <c r="A188" s="2">
        <v>97</v>
      </c>
      <c r="B188" s="2"/>
      <c r="C188" s="2"/>
      <c r="D188" s="2"/>
      <c r="E188" s="2"/>
      <c r="F188" s="2"/>
      <c r="G188" s="2"/>
      <c r="H188" s="2">
        <v>245</v>
      </c>
    </row>
    <row r="189" spans="1:8" x14ac:dyDescent="0.35">
      <c r="A189" s="2">
        <v>98</v>
      </c>
      <c r="B189" s="2"/>
      <c r="C189" s="2"/>
      <c r="D189" s="2"/>
      <c r="E189" s="2"/>
      <c r="F189" s="2"/>
      <c r="G189" s="2"/>
      <c r="H189" s="2">
        <v>282</v>
      </c>
    </row>
    <row r="190" spans="1:8" x14ac:dyDescent="0.35">
      <c r="A190" s="2">
        <v>100</v>
      </c>
      <c r="B190" s="2"/>
      <c r="C190" s="2"/>
      <c r="D190" s="2"/>
      <c r="E190" s="2"/>
      <c r="F190" s="2"/>
      <c r="G190" s="2"/>
      <c r="H190" s="2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E16" sqref="E16"/>
    </sheetView>
  </sheetViews>
  <sheetFormatPr defaultRowHeight="14.5" x14ac:dyDescent="0.35"/>
  <sheetData>
    <row r="1" spans="1:13" ht="15.5" x14ac:dyDescent="0.35">
      <c r="A1" s="1" t="s">
        <v>8</v>
      </c>
      <c r="B1" s="3" t="s">
        <v>9</v>
      </c>
      <c r="C1" s="3"/>
      <c r="D1" s="3"/>
      <c r="E1" s="3"/>
      <c r="F1" s="3"/>
      <c r="G1" s="3"/>
      <c r="H1" s="3" t="s">
        <v>10</v>
      </c>
      <c r="I1" s="3"/>
      <c r="J1" s="3"/>
      <c r="K1" s="3"/>
      <c r="L1" s="3"/>
      <c r="M1" s="3"/>
    </row>
    <row r="2" spans="1:1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A3" s="2">
        <v>0</v>
      </c>
      <c r="B3" s="2">
        <v>2.8666666699999999</v>
      </c>
      <c r="C3" s="2">
        <v>1.93333333</v>
      </c>
      <c r="D3" s="2">
        <v>1.8</v>
      </c>
      <c r="E3" s="2">
        <v>2.2000000000000002</v>
      </c>
      <c r="F3" s="2"/>
      <c r="G3" s="2"/>
      <c r="H3" s="2"/>
      <c r="I3" s="2"/>
      <c r="J3" s="2"/>
      <c r="K3" s="2"/>
      <c r="L3" s="2"/>
      <c r="M3" s="2"/>
    </row>
    <row r="4" spans="1:13" x14ac:dyDescent="0.35">
      <c r="A4" s="2">
        <v>28</v>
      </c>
      <c r="B4" s="2">
        <v>0.7</v>
      </c>
      <c r="C4" s="2">
        <v>0.8</v>
      </c>
      <c r="D4" s="2">
        <v>0.65</v>
      </c>
      <c r="E4" s="2">
        <v>0.65</v>
      </c>
      <c r="F4" s="2"/>
      <c r="G4" s="2"/>
      <c r="H4" s="2"/>
      <c r="I4" s="2"/>
      <c r="J4" s="2"/>
      <c r="K4" s="2"/>
      <c r="L4" s="2"/>
      <c r="M4" s="2"/>
    </row>
    <row r="5" spans="1:13" x14ac:dyDescent="0.35">
      <c r="A5" s="2">
        <v>98</v>
      </c>
      <c r="B5" s="2">
        <v>283.5</v>
      </c>
      <c r="C5" s="2">
        <v>261.5</v>
      </c>
      <c r="D5" s="2">
        <v>252</v>
      </c>
      <c r="E5" s="2">
        <v>259.5</v>
      </c>
      <c r="F5" s="2">
        <v>215.5</v>
      </c>
      <c r="G5" s="2"/>
      <c r="H5" s="2"/>
      <c r="I5" s="2"/>
      <c r="J5" s="2"/>
      <c r="K5" s="2"/>
      <c r="L5" s="2"/>
      <c r="M5" s="2"/>
    </row>
    <row r="6" spans="1:13" x14ac:dyDescent="0.35">
      <c r="A6" s="2">
        <v>103</v>
      </c>
      <c r="B6" s="2">
        <v>4.3</v>
      </c>
      <c r="C6" s="2">
        <v>3.9</v>
      </c>
      <c r="D6" s="2">
        <v>3.45</v>
      </c>
      <c r="E6" s="2">
        <v>3.6</v>
      </c>
      <c r="F6" s="2">
        <v>3.7</v>
      </c>
      <c r="G6" s="2"/>
      <c r="H6" s="2"/>
      <c r="I6" s="2"/>
      <c r="J6" s="2"/>
      <c r="K6" s="2"/>
      <c r="L6" s="2"/>
      <c r="M6" s="2"/>
    </row>
    <row r="7" spans="1:13" x14ac:dyDescent="0.35">
      <c r="A7" s="2">
        <v>126</v>
      </c>
      <c r="B7" s="2">
        <v>0.5</v>
      </c>
      <c r="C7" s="2">
        <v>0.15</v>
      </c>
      <c r="D7" s="2">
        <v>0.19500000000000001</v>
      </c>
      <c r="E7" s="2">
        <v>0.5</v>
      </c>
      <c r="F7" s="2">
        <v>0.35</v>
      </c>
      <c r="G7" s="2"/>
      <c r="H7" s="2"/>
      <c r="I7" s="2"/>
      <c r="J7" s="2"/>
      <c r="K7" s="2"/>
      <c r="L7" s="2"/>
      <c r="M7" s="2"/>
    </row>
    <row r="8" spans="1:13" x14ac:dyDescent="0.35">
      <c r="A8" s="2">
        <v>-6</v>
      </c>
      <c r="B8" s="2"/>
      <c r="C8" s="2"/>
      <c r="D8" s="2"/>
      <c r="E8" s="2"/>
      <c r="F8" s="2"/>
      <c r="G8" s="2"/>
      <c r="H8" s="2">
        <v>1.1000000000000001</v>
      </c>
      <c r="I8" s="2">
        <v>1.9</v>
      </c>
      <c r="J8" s="2">
        <v>1.4</v>
      </c>
      <c r="K8" s="2">
        <v>1.06666667</v>
      </c>
      <c r="L8" s="2"/>
      <c r="M8" s="2"/>
    </row>
    <row r="9" spans="1:13" x14ac:dyDescent="0.35">
      <c r="A9" s="2">
        <v>9</v>
      </c>
      <c r="B9" s="2"/>
      <c r="C9" s="2"/>
      <c r="D9" s="2"/>
      <c r="E9" s="2"/>
      <c r="F9" s="2"/>
      <c r="G9" s="2"/>
      <c r="H9" s="2">
        <v>0</v>
      </c>
      <c r="I9" s="2">
        <v>0</v>
      </c>
      <c r="J9" s="2">
        <v>0</v>
      </c>
      <c r="K9" s="2">
        <v>0</v>
      </c>
      <c r="L9" s="2"/>
      <c r="M9" s="2"/>
    </row>
    <row r="10" spans="1:13" x14ac:dyDescent="0.35">
      <c r="A10" s="2">
        <v>28</v>
      </c>
      <c r="B10" s="2"/>
      <c r="C10" s="2"/>
      <c r="D10" s="2"/>
      <c r="E10" s="2"/>
      <c r="F10" s="2"/>
      <c r="G10" s="2"/>
      <c r="H10" s="2">
        <v>0</v>
      </c>
      <c r="I10" s="2">
        <v>0</v>
      </c>
      <c r="J10" s="2">
        <v>0</v>
      </c>
      <c r="K10" s="2">
        <v>0</v>
      </c>
      <c r="L10" s="2"/>
      <c r="M10" s="2"/>
    </row>
    <row r="11" spans="1:13" x14ac:dyDescent="0.35">
      <c r="A11" s="2">
        <v>107</v>
      </c>
      <c r="B11" s="2"/>
      <c r="C11" s="2"/>
      <c r="D11" s="2"/>
      <c r="E11" s="2"/>
      <c r="F11" s="2"/>
      <c r="G11" s="2"/>
      <c r="H11" s="2">
        <v>0.34499999999999997</v>
      </c>
      <c r="I11" s="2">
        <v>0.45</v>
      </c>
      <c r="J11" s="2">
        <v>0.22</v>
      </c>
      <c r="K11" s="2">
        <v>0.45</v>
      </c>
      <c r="L11" s="2">
        <v>0.5</v>
      </c>
      <c r="M11" s="2"/>
    </row>
    <row r="12" spans="1:13" x14ac:dyDescent="0.35">
      <c r="A12" s="2">
        <v>110</v>
      </c>
      <c r="B12" s="2"/>
      <c r="C12" s="2"/>
      <c r="D12" s="2"/>
      <c r="E12" s="2"/>
      <c r="F12" s="2"/>
      <c r="G12" s="2"/>
      <c r="H12" s="2">
        <v>8.65</v>
      </c>
      <c r="I12" s="2">
        <v>12.15</v>
      </c>
      <c r="J12" s="2">
        <v>11.6</v>
      </c>
      <c r="K12" s="2">
        <v>11.4</v>
      </c>
      <c r="L12" s="2">
        <v>9.85</v>
      </c>
      <c r="M12" s="2"/>
    </row>
    <row r="13" spans="1:13" x14ac:dyDescent="0.35">
      <c r="A13" s="2">
        <v>113</v>
      </c>
      <c r="B13" s="2"/>
      <c r="C13" s="2"/>
      <c r="D13" s="2"/>
      <c r="E13" s="2"/>
      <c r="F13" s="2"/>
      <c r="G13" s="2"/>
      <c r="H13" s="2">
        <v>9.1</v>
      </c>
      <c r="I13" s="2">
        <v>8.0500000000000007</v>
      </c>
      <c r="J13" s="2">
        <v>8.1</v>
      </c>
      <c r="K13" s="2">
        <v>8.1999999999999993</v>
      </c>
      <c r="L13" s="2">
        <v>8.9</v>
      </c>
      <c r="M13" s="2">
        <v>9.0500000000000007</v>
      </c>
    </row>
    <row r="14" spans="1:13" x14ac:dyDescent="0.35">
      <c r="A14" s="2">
        <v>121</v>
      </c>
      <c r="B14" s="2"/>
      <c r="C14" s="2"/>
      <c r="D14" s="2"/>
      <c r="E14" s="2"/>
      <c r="F14" s="2"/>
      <c r="G14" s="2"/>
      <c r="H14" s="2">
        <v>1.4</v>
      </c>
      <c r="I14" s="2">
        <v>1.35</v>
      </c>
      <c r="J14" s="2">
        <v>1.35</v>
      </c>
      <c r="K14" s="2">
        <v>1.1499999999999999</v>
      </c>
      <c r="L14" s="2">
        <v>1.45</v>
      </c>
      <c r="M14" s="2">
        <v>1.2</v>
      </c>
    </row>
    <row r="15" spans="1:13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</sheetData>
  <mergeCells count="2">
    <mergeCell ref="B1:G1"/>
    <mergeCell ref="H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N39" sqref="N39"/>
    </sheetView>
  </sheetViews>
  <sheetFormatPr defaultRowHeight="14.5" x14ac:dyDescent="0.35"/>
  <cols>
    <col min="1" max="1" width="11.90625" bestFit="1" customWidth="1"/>
    <col min="3" max="3" width="13.7265625" bestFit="1" customWidth="1"/>
    <col min="4" max="4" width="15.453125" bestFit="1" customWidth="1"/>
    <col min="5" max="5" width="11.81640625" bestFit="1" customWidth="1"/>
    <col min="7" max="7" width="14.7265625" bestFit="1" customWidth="1"/>
    <col min="8" max="8" width="12.453125" bestFit="1" customWidth="1"/>
    <col min="9" max="9" width="12.7265625" bestFit="1" customWidth="1"/>
  </cols>
  <sheetData>
    <row r="1" spans="1:10" x14ac:dyDescent="0.3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5" t="s">
        <v>17</v>
      </c>
      <c r="H1" s="4" t="s">
        <v>18</v>
      </c>
      <c r="I1" s="4" t="s">
        <v>19</v>
      </c>
      <c r="J1" s="4" t="s">
        <v>20</v>
      </c>
    </row>
    <row r="2" spans="1:10" x14ac:dyDescent="0.35">
      <c r="A2" s="4" t="s">
        <v>21</v>
      </c>
      <c r="B2" s="4">
        <v>13117</v>
      </c>
      <c r="C2" s="4">
        <v>6339</v>
      </c>
      <c r="D2" s="4">
        <f>SUM(B2:C2)</f>
        <v>19456</v>
      </c>
      <c r="E2" s="4">
        <f>C2/D2</f>
        <v>0.32581208881578949</v>
      </c>
      <c r="F2" s="4">
        <v>0.85</v>
      </c>
      <c r="G2" s="6">
        <f>((-LN(E2))/F2)*1000</f>
        <v>1319.3346805667379</v>
      </c>
      <c r="H2">
        <f>LOG10(G2)</f>
        <v>3.1203549786290385</v>
      </c>
      <c r="I2">
        <v>1</v>
      </c>
      <c r="J2">
        <f>LOG10(I2)</f>
        <v>0</v>
      </c>
    </row>
    <row r="3" spans="1:10" x14ac:dyDescent="0.35">
      <c r="A3" s="4" t="s">
        <v>22</v>
      </c>
      <c r="B3" s="4">
        <v>2574</v>
      </c>
      <c r="C3" s="4">
        <v>18819</v>
      </c>
      <c r="D3" s="4">
        <f t="shared" ref="D3:D8" si="0">SUM(B3:C3)</f>
        <v>21393</v>
      </c>
      <c r="E3" s="4">
        <f t="shared" ref="E3:E15" si="1">C3/D3</f>
        <v>0.87968026924694998</v>
      </c>
      <c r="F3" s="4">
        <v>0.85</v>
      </c>
      <c r="G3" s="6">
        <f t="shared" ref="G3:G15" si="2">((-LN(E3))/F3)*1000</f>
        <v>150.81972697830625</v>
      </c>
      <c r="H3">
        <f t="shared" ref="H3:H15" si="3">LOG10(G3)</f>
        <v>2.1784581502705116</v>
      </c>
      <c r="I3">
        <v>10</v>
      </c>
      <c r="J3">
        <f t="shared" ref="J3:J15" si="4">LOG10(I3)</f>
        <v>1</v>
      </c>
    </row>
    <row r="4" spans="1:10" x14ac:dyDescent="0.35">
      <c r="A4" s="4" t="s">
        <v>23</v>
      </c>
      <c r="B4" s="4">
        <v>438</v>
      </c>
      <c r="C4" s="4">
        <v>25493</v>
      </c>
      <c r="D4" s="4">
        <f t="shared" si="0"/>
        <v>25931</v>
      </c>
      <c r="E4" s="4">
        <f t="shared" si="1"/>
        <v>0.98310902009178203</v>
      </c>
      <c r="F4" s="4">
        <v>0.85</v>
      </c>
      <c r="G4" s="6">
        <f t="shared" si="2"/>
        <v>20.04148176411957</v>
      </c>
      <c r="H4">
        <f t="shared" si="3"/>
        <v>1.3019298278833653</v>
      </c>
      <c r="I4">
        <v>100</v>
      </c>
      <c r="J4">
        <f t="shared" si="4"/>
        <v>2</v>
      </c>
    </row>
    <row r="5" spans="1:10" x14ac:dyDescent="0.35">
      <c r="A5" s="4" t="s">
        <v>24</v>
      </c>
      <c r="B5" s="4">
        <v>88</v>
      </c>
      <c r="C5" s="4">
        <v>22957</v>
      </c>
      <c r="D5" s="4">
        <f t="shared" si="0"/>
        <v>23045</v>
      </c>
      <c r="E5" s="4">
        <f t="shared" si="1"/>
        <v>0.99618138424821001</v>
      </c>
      <c r="F5" s="4">
        <v>0.85</v>
      </c>
      <c r="G5" s="7">
        <f t="shared" si="2"/>
        <v>4.5010885635733757</v>
      </c>
      <c r="H5">
        <f t="shared" si="3"/>
        <v>0.65331755821570969</v>
      </c>
      <c r="I5">
        <v>1000</v>
      </c>
      <c r="J5">
        <f t="shared" si="4"/>
        <v>3</v>
      </c>
    </row>
    <row r="6" spans="1:10" x14ac:dyDescent="0.35">
      <c r="A6" s="4" t="s">
        <v>25</v>
      </c>
      <c r="B6" s="4">
        <v>33</v>
      </c>
      <c r="C6" s="4">
        <v>22623</v>
      </c>
      <c r="D6" s="4">
        <f t="shared" si="0"/>
        <v>22656</v>
      </c>
      <c r="E6" s="4">
        <f t="shared" si="1"/>
        <v>0.99854343220338981</v>
      </c>
      <c r="F6" s="4">
        <v>0.85</v>
      </c>
      <c r="G6" s="8">
        <f t="shared" si="2"/>
        <v>1.7148583796348391</v>
      </c>
      <c r="H6">
        <f t="shared" si="3"/>
        <v>0.23422825995738075</v>
      </c>
      <c r="I6">
        <v>10000</v>
      </c>
      <c r="J6">
        <f t="shared" si="4"/>
        <v>4</v>
      </c>
    </row>
    <row r="7" spans="1:10" x14ac:dyDescent="0.35">
      <c r="A7" s="4" t="s">
        <v>26</v>
      </c>
      <c r="B7" s="4">
        <v>9</v>
      </c>
      <c r="C7" s="4">
        <v>23035</v>
      </c>
      <c r="D7" s="4">
        <f t="shared" si="0"/>
        <v>23044</v>
      </c>
      <c r="E7" s="4">
        <f t="shared" si="1"/>
        <v>0.99960944280506858</v>
      </c>
      <c r="F7" s="4">
        <v>0.85</v>
      </c>
      <c r="G7" s="8">
        <f t="shared" si="2"/>
        <v>0.45956880265454508</v>
      </c>
      <c r="H7">
        <f t="shared" si="3"/>
        <v>-0.33764946060787104</v>
      </c>
      <c r="I7">
        <v>100000</v>
      </c>
      <c r="J7">
        <f t="shared" si="4"/>
        <v>5</v>
      </c>
    </row>
    <row r="8" spans="1:10" x14ac:dyDescent="0.35">
      <c r="A8" s="4" t="s">
        <v>27</v>
      </c>
      <c r="B8" s="4">
        <v>1</v>
      </c>
      <c r="C8" s="4">
        <v>18945</v>
      </c>
      <c r="D8" s="4">
        <f t="shared" si="0"/>
        <v>18946</v>
      </c>
      <c r="E8" s="4">
        <f t="shared" si="1"/>
        <v>0.9999472184102185</v>
      </c>
      <c r="F8" s="4">
        <v>0.85</v>
      </c>
      <c r="G8" s="9">
        <f t="shared" si="2"/>
        <v>6.2097626798387894E-2</v>
      </c>
      <c r="H8">
        <f t="shared" si="3"/>
        <v>-1.2069249970546436</v>
      </c>
      <c r="I8">
        <v>1000000</v>
      </c>
      <c r="J8">
        <f t="shared" si="4"/>
        <v>6</v>
      </c>
    </row>
    <row r="9" spans="1:10" x14ac:dyDescent="0.35">
      <c r="A9" s="4" t="s">
        <v>28</v>
      </c>
      <c r="B9">
        <v>5316</v>
      </c>
      <c r="C9">
        <v>14140</v>
      </c>
      <c r="D9" s="4">
        <f>SUM(B9:C9)</f>
        <v>19456</v>
      </c>
      <c r="E9" s="4">
        <f t="shared" si="1"/>
        <v>0.72676809210526316</v>
      </c>
      <c r="F9" s="4">
        <v>0.85</v>
      </c>
      <c r="G9" s="9">
        <f t="shared" si="2"/>
        <v>375.46805331215273</v>
      </c>
      <c r="H9">
        <f t="shared" si="3"/>
        <v>2.574572990979398</v>
      </c>
      <c r="I9">
        <v>1</v>
      </c>
      <c r="J9">
        <f>LOG10(I9)</f>
        <v>0</v>
      </c>
    </row>
    <row r="10" spans="1:10" x14ac:dyDescent="0.35">
      <c r="A10" s="4" t="s">
        <v>29</v>
      </c>
      <c r="B10">
        <v>6588</v>
      </c>
      <c r="C10">
        <v>14805</v>
      </c>
      <c r="D10" s="4">
        <f t="shared" ref="D10:D15" si="5">SUM(B10:C10)</f>
        <v>21393</v>
      </c>
      <c r="E10" s="4">
        <f t="shared" si="1"/>
        <v>0.69204880100967603</v>
      </c>
      <c r="F10" s="4">
        <v>0.85</v>
      </c>
      <c r="G10" s="9">
        <f t="shared" si="2"/>
        <v>433.05741665967264</v>
      </c>
      <c r="H10">
        <f t="shared" si="3"/>
        <v>2.6365454808460838</v>
      </c>
      <c r="I10">
        <v>10</v>
      </c>
      <c r="J10">
        <f t="shared" si="4"/>
        <v>1</v>
      </c>
    </row>
    <row r="11" spans="1:10" x14ac:dyDescent="0.35">
      <c r="A11" s="4" t="s">
        <v>30</v>
      </c>
      <c r="B11">
        <v>8036</v>
      </c>
      <c r="C11">
        <v>17895</v>
      </c>
      <c r="D11" s="4">
        <f t="shared" si="5"/>
        <v>25931</v>
      </c>
      <c r="E11" s="4">
        <f t="shared" si="1"/>
        <v>0.69010065172959012</v>
      </c>
      <c r="F11" s="4">
        <v>0.85</v>
      </c>
      <c r="G11" s="9">
        <f t="shared" si="2"/>
        <v>436.37390583206871</v>
      </c>
      <c r="H11">
        <f t="shared" si="3"/>
        <v>2.6398587728696357</v>
      </c>
      <c r="I11">
        <v>100</v>
      </c>
      <c r="J11">
        <f t="shared" si="4"/>
        <v>2</v>
      </c>
    </row>
    <row r="12" spans="1:10" ht="15.5" x14ac:dyDescent="0.35">
      <c r="A12" s="4" t="s">
        <v>31</v>
      </c>
      <c r="B12" s="10">
        <v>6791</v>
      </c>
      <c r="C12" s="10">
        <v>16254</v>
      </c>
      <c r="D12" s="4">
        <f t="shared" si="5"/>
        <v>23045</v>
      </c>
      <c r="E12" s="4">
        <f t="shared" si="1"/>
        <v>0.70531568669993494</v>
      </c>
      <c r="F12" s="4">
        <v>0.85</v>
      </c>
      <c r="G12" s="9">
        <f t="shared" si="2"/>
        <v>410.71740451936296</v>
      </c>
      <c r="H12">
        <f t="shared" si="3"/>
        <v>2.6135431068628177</v>
      </c>
      <c r="I12">
        <v>1000</v>
      </c>
      <c r="J12">
        <f t="shared" si="4"/>
        <v>3</v>
      </c>
    </row>
    <row r="13" spans="1:10" ht="15.5" x14ac:dyDescent="0.35">
      <c r="A13" s="4" t="s">
        <v>32</v>
      </c>
      <c r="B13" s="10">
        <v>6044</v>
      </c>
      <c r="C13" s="10">
        <v>16612</v>
      </c>
      <c r="D13" s="4">
        <f t="shared" si="5"/>
        <v>22656</v>
      </c>
      <c r="E13" s="4">
        <f t="shared" si="1"/>
        <v>0.73322740112994356</v>
      </c>
      <c r="F13" s="4">
        <v>0.85</v>
      </c>
      <c r="G13" s="9">
        <f t="shared" si="2"/>
        <v>365.05810793270831</v>
      </c>
      <c r="H13">
        <f t="shared" si="3"/>
        <v>2.562361998555005</v>
      </c>
      <c r="I13">
        <v>10000</v>
      </c>
      <c r="J13">
        <f t="shared" si="4"/>
        <v>4</v>
      </c>
    </row>
    <row r="14" spans="1:10" ht="15.5" x14ac:dyDescent="0.35">
      <c r="A14" s="4" t="s">
        <v>33</v>
      </c>
      <c r="B14" s="10">
        <v>7262</v>
      </c>
      <c r="C14" s="10">
        <v>15782</v>
      </c>
      <c r="D14" s="4">
        <f t="shared" si="5"/>
        <v>23044</v>
      </c>
      <c r="E14" s="4">
        <f t="shared" si="1"/>
        <v>0.68486373893421282</v>
      </c>
      <c r="F14" s="4">
        <v>0.85</v>
      </c>
      <c r="G14" s="9">
        <f t="shared" si="2"/>
        <v>445.33574326034517</v>
      </c>
      <c r="H14">
        <f t="shared" si="3"/>
        <v>2.6486875536036321</v>
      </c>
      <c r="I14">
        <v>100000</v>
      </c>
      <c r="J14">
        <f t="shared" si="4"/>
        <v>5</v>
      </c>
    </row>
    <row r="15" spans="1:10" ht="15.5" x14ac:dyDescent="0.35">
      <c r="A15" s="4" t="s">
        <v>34</v>
      </c>
      <c r="B15" s="10">
        <v>5783</v>
      </c>
      <c r="C15" s="10">
        <v>13163</v>
      </c>
      <c r="D15" s="4">
        <f t="shared" si="5"/>
        <v>18946</v>
      </c>
      <c r="E15" s="4">
        <f t="shared" si="1"/>
        <v>0.69476406629367682</v>
      </c>
      <c r="F15" s="4">
        <v>0.85</v>
      </c>
      <c r="G15" s="9">
        <f t="shared" si="2"/>
        <v>428.45054589420232</v>
      </c>
      <c r="H15">
        <f t="shared" si="3"/>
        <v>2.6319007005071953</v>
      </c>
      <c r="I15">
        <v>1000000</v>
      </c>
      <c r="J15">
        <f t="shared" si="4"/>
        <v>6</v>
      </c>
    </row>
    <row r="16" spans="1:10" x14ac:dyDescent="0.35">
      <c r="G16" s="11"/>
    </row>
    <row r="17" spans="7:7" x14ac:dyDescent="0.35">
      <c r="G17" s="11"/>
    </row>
    <row r="18" spans="7:7" x14ac:dyDescent="0.35">
      <c r="G18" s="11"/>
    </row>
    <row r="19" spans="7:7" x14ac:dyDescent="0.35">
      <c r="G19" s="11"/>
    </row>
    <row r="20" spans="7:7" x14ac:dyDescent="0.35">
      <c r="G20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LDH</vt:lpstr>
      <vt:lpstr>Log2K27M_ctDNA_SpinalDMG1.DIPG2</vt:lpstr>
      <vt:lpstr>cfDNA_AssayValidation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2022-01-25T18:28:25Z</dcterms:created>
  <dcterms:modified xsi:type="dcterms:W3CDTF">2022-01-25T18:29:20Z</dcterms:modified>
</cp:coreProperties>
</file>